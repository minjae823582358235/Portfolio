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nja\Documents\GitHub\IMC-Prosperity-3\Level2\P2P\"/>
    </mc:Choice>
  </mc:AlternateContent>
  <xr:revisionPtr revIDLastSave="0" documentId="8_{9C0BA1DD-A35D-4501-A4D1-B4C283C8039C}" xr6:coauthVersionLast="47" xr6:coauthVersionMax="47" xr10:uidLastSave="{00000000-0000-0000-0000-000000000000}"/>
  <bookViews>
    <workbookView xWindow="-110" yWindow="-110" windowWidth="25820" windowHeight="15500" xr2:uid="{6741AD60-7615-45FA-BC1E-A3AE7409D267}"/>
  </bookViews>
  <sheets>
    <sheet name="top_10_strategies" sheetId="1" r:id="rId1"/>
  </sheets>
  <calcPr calcId="0"/>
</workbook>
</file>

<file path=xl/calcChain.xml><?xml version="1.0" encoding="utf-8"?>
<calcChain xmlns="http://schemas.openxmlformats.org/spreadsheetml/2006/main">
  <c r="Y7" i="1" l="1"/>
  <c r="Y8" i="1"/>
  <c r="Y9" i="1"/>
  <c r="Y10" i="1"/>
  <c r="Y11" i="1"/>
  <c r="Y2" i="1"/>
  <c r="Y3" i="1"/>
  <c r="Y4" i="1"/>
  <c r="Y5" i="1"/>
  <c r="U7" i="1"/>
  <c r="U8" i="1"/>
  <c r="U9" i="1"/>
  <c r="U10" i="1"/>
  <c r="U11" i="1"/>
  <c r="U2" i="1"/>
  <c r="U3" i="1"/>
  <c r="U4" i="1"/>
  <c r="U5" i="1"/>
  <c r="R6" i="1"/>
  <c r="AE6" i="1" s="1"/>
  <c r="AD6" i="1"/>
  <c r="AI6" i="1"/>
  <c r="Y6" i="1"/>
  <c r="Z6" i="1"/>
  <c r="AA6" i="1"/>
  <c r="AB6" i="1"/>
  <c r="AC6" i="1"/>
  <c r="S6" i="1"/>
  <c r="T6" i="1"/>
  <c r="U6" i="1"/>
  <c r="V6" i="1"/>
  <c r="W6" i="1"/>
  <c r="X6" i="1"/>
  <c r="Q3" i="1"/>
  <c r="Q4" i="1"/>
  <c r="Q5" i="1"/>
  <c r="Q6" i="1"/>
  <c r="Q7" i="1"/>
  <c r="Q8" i="1"/>
  <c r="Q9" i="1"/>
  <c r="Q10" i="1"/>
  <c r="Q11" i="1"/>
  <c r="Q2" i="1"/>
  <c r="AG6" i="1" l="1"/>
  <c r="AH6" i="1"/>
  <c r="AF6" i="1"/>
</calcChain>
</file>

<file path=xl/sharedStrings.xml><?xml version="1.0" encoding="utf-8"?>
<sst xmlns="http://schemas.openxmlformats.org/spreadsheetml/2006/main" count="116" uniqueCount="116">
  <si>
    <t>DJ_high</t>
  </si>
  <si>
    <t>DJ_low</t>
  </si>
  <si>
    <t>DJ_mid</t>
  </si>
  <si>
    <t>DJ_neg</t>
  </si>
  <si>
    <t>PB1_high</t>
  </si>
  <si>
    <t>PB1_low</t>
  </si>
  <si>
    <t>PB1_mid</t>
  </si>
  <si>
    <t>PB1_neg</t>
  </si>
  <si>
    <t>PB2_high</t>
  </si>
  <si>
    <t>PB2_low</t>
  </si>
  <si>
    <t>PB2_mid</t>
  </si>
  <si>
    <t>PB2_neg</t>
  </si>
  <si>
    <t>hold_factor</t>
  </si>
  <si>
    <t>zfactor1</t>
  </si>
  <si>
    <t>zfactor2</t>
  </si>
  <si>
    <t>profit</t>
  </si>
  <si>
    <t>14.882934467399203</t>
  </si>
  <si>
    <t>5.156922209287382</t>
  </si>
  <si>
    <t>0.28786977259511737</t>
  </si>
  <si>
    <t>2.794103038848357</t>
  </si>
  <si>
    <t>34.362962776429285</t>
  </si>
  <si>
    <t>19.492779334405682</t>
  </si>
  <si>
    <t>20.17301912955646</t>
  </si>
  <si>
    <t>3.472305379501203</t>
  </si>
  <si>
    <t>1.112936540633034</t>
  </si>
  <si>
    <t>1.026336599273565</t>
  </si>
  <si>
    <t>5.664175591593766</t>
  </si>
  <si>
    <t>4.264895744459899</t>
  </si>
  <si>
    <t>15.215700972337949</t>
  </si>
  <si>
    <t>31.067720018227877</t>
  </si>
  <si>
    <t>21.38658034589777</t>
  </si>
  <si>
    <t>1.9913459430197125</t>
  </si>
  <si>
    <t>2.225738241782636</t>
  </si>
  <si>
    <t>6.293976061715769</t>
  </si>
  <si>
    <t>1.2959981933535218</t>
  </si>
  <si>
    <t>2.273537861118928</t>
  </si>
  <si>
    <t>28.142994037654223</t>
  </si>
  <si>
    <t>3.4658864014169155</t>
  </si>
  <si>
    <t>10.759473028419217</t>
  </si>
  <si>
    <t>28.86924098530243</t>
  </si>
  <si>
    <t>11.91742198089177</t>
  </si>
  <si>
    <t>9.097305613263881</t>
  </si>
  <si>
    <t>29.77797975113497</t>
  </si>
  <si>
    <t>1.0780201529480855</t>
  </si>
  <si>
    <t>0.6569409242778359</t>
  </si>
  <si>
    <t>32.56508506366203</t>
  </si>
  <si>
    <t>6.202267893583617</t>
  </si>
  <si>
    <t>17.341446371602075</t>
  </si>
  <si>
    <t>5.662027627823562</t>
  </si>
  <si>
    <t>20.942353555576574</t>
  </si>
  <si>
    <t>0.030325893743992083</t>
  </si>
  <si>
    <t>32.13351197970423</t>
  </si>
  <si>
    <t>28.37670821305043</t>
  </si>
  <si>
    <t>35.71020833088509</t>
  </si>
  <si>
    <t>0.2802557526101291</t>
  </si>
  <si>
    <t>1.4667863454406265</t>
  </si>
  <si>
    <t>33.16255767108082</t>
  </si>
  <si>
    <t>13.560323051181271</t>
  </si>
  <si>
    <t>11.414102536607432</t>
  </si>
  <si>
    <t>32.09961484267019</t>
  </si>
  <si>
    <t>34.17268743467543</t>
  </si>
  <si>
    <t>7.345884019196049</t>
  </si>
  <si>
    <t>28.626156091886358</t>
  </si>
  <si>
    <t>1.8506664181836001</t>
  </si>
  <si>
    <t>13.95245451876898</t>
  </si>
  <si>
    <t>1.7163448908127361</t>
  </si>
  <si>
    <t>1.5655978766272016</t>
  </si>
  <si>
    <t>25.018153824036443</t>
  </si>
  <si>
    <t>2.7018730173528756</t>
  </si>
  <si>
    <t>0.9060801954408904</t>
  </si>
  <si>
    <t>25.40853671285522</t>
  </si>
  <si>
    <t>34.40310380634457</t>
  </si>
  <si>
    <t>7.354442656175758</t>
  </si>
  <si>
    <t>26.05435185004631</t>
  </si>
  <si>
    <t>11.71965386965653</t>
  </si>
  <si>
    <t>2.353564091491146</t>
  </si>
  <si>
    <t>1.4599117357959035</t>
  </si>
  <si>
    <t>10.517280278142838</t>
  </si>
  <si>
    <t>0.9728950189305952</t>
  </si>
  <si>
    <t>1.7621724048429712</t>
  </si>
  <si>
    <t>19.49655642689792</t>
  </si>
  <si>
    <t>7.674182218746135</t>
  </si>
  <si>
    <t>3.933064445645586</t>
  </si>
  <si>
    <t>35.54980267450975</t>
  </si>
  <si>
    <t>2.7868501687506924</t>
  </si>
  <si>
    <t>1.545909280099429</t>
  </si>
  <si>
    <t>1.8718490710809732</t>
  </si>
  <si>
    <t>13.582046382889793</t>
  </si>
  <si>
    <t>20.439245758233234</t>
  </si>
  <si>
    <t>21.947155130923363</t>
  </si>
  <si>
    <t>30.07213949318887</t>
  </si>
  <si>
    <t>5.975631809026987</t>
  </si>
  <si>
    <t>7.268015105008715</t>
  </si>
  <si>
    <t>1.6324972412624232</t>
  </si>
  <si>
    <t>1.4484068464388342</t>
  </si>
  <si>
    <t>19.142978018274317</t>
  </si>
  <si>
    <t>14.149961569166368</t>
  </si>
  <si>
    <t>7.843272281846858</t>
  </si>
  <si>
    <t>37.61486138607472</t>
  </si>
  <si>
    <t>39.66777952201758</t>
  </si>
  <si>
    <t>12.260424715973272</t>
  </si>
  <si>
    <t>6.060311325493551</t>
  </si>
  <si>
    <t>34.49888967968028</t>
  </si>
  <si>
    <t>19.806245063253915</t>
  </si>
  <si>
    <t>1.0626302210029075</t>
  </si>
  <si>
    <t>0.5756695687353167</t>
  </si>
  <si>
    <t>5.5849059142599575</t>
  </si>
  <si>
    <t>2.261052563779188</t>
  </si>
  <si>
    <t>15.004596966917518</t>
  </si>
  <si>
    <t>27.56846504066501</t>
  </si>
  <si>
    <t>27.86705128092354</t>
  </si>
  <si>
    <t>13.839558935340152</t>
  </si>
  <si>
    <t>1.789565760641144</t>
  </si>
  <si>
    <t>18.69262346522688</t>
  </si>
  <si>
    <t>1.4972572799128274</t>
  </si>
  <si>
    <t>1.1291133091531427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</si>
</sst>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16" fillId="0" borderId="0" xfId="0" applyFont="1"/>
    <xf numFmtId="0" fontId="16" fillId="0" borderId="0" xfId="0" quotePrefix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F9C150C9-4487-4C02-BFDC-95764EAD54D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AA48F-02F2-4D46-83A0-A29DC60BB533}">
  <dimension ref="A1:AI11"/>
  <sheetViews>
    <sheetView tabSelected="1" workbookViewId="0">
      <selection activeCell="O19" sqref="O19"/>
    </sheetView>
  </sheetViews>
  <sheetFormatPr defaultRowHeight="14.5" x14ac:dyDescent="0.35"/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35" x14ac:dyDescent="0.35">
      <c r="A2" s="1" t="s">
        <v>16</v>
      </c>
      <c r="B2" s="1" t="s">
        <v>17</v>
      </c>
      <c r="C2" s="1" t="s">
        <v>18</v>
      </c>
      <c r="D2">
        <v>-34.196367974654102</v>
      </c>
      <c r="E2" s="1" t="s">
        <v>19</v>
      </c>
      <c r="F2">
        <v>-9.1854239536205906</v>
      </c>
      <c r="G2" s="1" t="s">
        <v>20</v>
      </c>
      <c r="H2">
        <v>-4.1134491716187798</v>
      </c>
      <c r="I2" s="1" t="s">
        <v>21</v>
      </c>
      <c r="J2">
        <v>-8.04331678697997</v>
      </c>
      <c r="K2" s="1" t="s">
        <v>22</v>
      </c>
      <c r="L2">
        <v>-16.326411460971698</v>
      </c>
      <c r="M2" s="3" t="s">
        <v>23</v>
      </c>
      <c r="N2" s="3" t="s">
        <v>24</v>
      </c>
      <c r="O2" s="3" t="s">
        <v>25</v>
      </c>
      <c r="P2">
        <v>31927</v>
      </c>
      <c r="Q2">
        <f>IF(AND(A2&gt;=C2,C2&gt;=B2,B2&gt;=D2),100,0)</f>
        <v>0</v>
      </c>
      <c r="U2" s="2">
        <f t="shared" ref="U2:U11" si="0">IF(AND(E2&gt;=G2,G2&gt;=F2,F2&gt;=H2),100,0)</f>
        <v>0</v>
      </c>
      <c r="Y2" s="2">
        <f t="shared" ref="Y2:Y11" si="1">IF(AND(I2&gt;=K2,K2&gt;=J2,J2&gt;=L2),100,0)</f>
        <v>0</v>
      </c>
    </row>
    <row r="3" spans="1:35" x14ac:dyDescent="0.35">
      <c r="A3" s="1" t="s">
        <v>26</v>
      </c>
      <c r="B3" s="1" t="s">
        <v>27</v>
      </c>
      <c r="C3" s="1" t="s">
        <v>28</v>
      </c>
      <c r="D3">
        <v>-11.936140121525099</v>
      </c>
      <c r="E3" s="3" t="s">
        <v>29</v>
      </c>
      <c r="F3" s="2">
        <v>-0.124088072712185</v>
      </c>
      <c r="G3" s="3" t="s">
        <v>30</v>
      </c>
      <c r="H3" s="2">
        <v>-18.195408063713899</v>
      </c>
      <c r="I3" s="1" t="s">
        <v>31</v>
      </c>
      <c r="J3">
        <v>-7.8421714601339101</v>
      </c>
      <c r="K3" s="1" t="s">
        <v>32</v>
      </c>
      <c r="L3">
        <v>-8.1794794368109702</v>
      </c>
      <c r="M3" s="1" t="s">
        <v>33</v>
      </c>
      <c r="N3" s="1" t="s">
        <v>34</v>
      </c>
      <c r="O3" s="1" t="s">
        <v>35</v>
      </c>
      <c r="P3">
        <v>29241</v>
      </c>
      <c r="Q3">
        <f t="shared" ref="Q3:Q11" si="2">IF(AND(A3&gt;=C3,C3&gt;=B3,B3&gt;=D3),100,0)</f>
        <v>0</v>
      </c>
      <c r="U3" s="2">
        <f t="shared" si="0"/>
        <v>100</v>
      </c>
      <c r="Y3" s="2">
        <f t="shared" si="1"/>
        <v>0</v>
      </c>
    </row>
    <row r="4" spans="1:35" x14ac:dyDescent="0.35">
      <c r="A4" s="1" t="s">
        <v>36</v>
      </c>
      <c r="B4">
        <v>-1.8209411117145999</v>
      </c>
      <c r="C4" s="1" t="s">
        <v>37</v>
      </c>
      <c r="D4">
        <v>-32.178147866445698</v>
      </c>
      <c r="E4" s="1" t="s">
        <v>38</v>
      </c>
      <c r="F4">
        <v>0.98453329412240898</v>
      </c>
      <c r="G4" s="1" t="s">
        <v>39</v>
      </c>
      <c r="H4">
        <v>-6.3299337873957002</v>
      </c>
      <c r="I4" s="1" t="s">
        <v>40</v>
      </c>
      <c r="J4" s="1" t="s">
        <v>41</v>
      </c>
      <c r="K4" s="1" t="s">
        <v>42</v>
      </c>
      <c r="L4">
        <v>-12.2822973744299</v>
      </c>
      <c r="M4">
        <v>12.2382977172247</v>
      </c>
      <c r="N4" s="1" t="s">
        <v>43</v>
      </c>
      <c r="O4" s="1" t="s">
        <v>44</v>
      </c>
      <c r="P4">
        <v>28931</v>
      </c>
      <c r="Q4">
        <f t="shared" si="2"/>
        <v>0</v>
      </c>
      <c r="U4" s="2">
        <f t="shared" si="0"/>
        <v>0</v>
      </c>
      <c r="Y4" s="2">
        <f t="shared" si="1"/>
        <v>0</v>
      </c>
    </row>
    <row r="5" spans="1:35" x14ac:dyDescent="0.35">
      <c r="A5" s="3" t="s">
        <v>45</v>
      </c>
      <c r="B5" s="3" t="s">
        <v>46</v>
      </c>
      <c r="C5" s="3" t="s">
        <v>47</v>
      </c>
      <c r="D5" s="3" t="s">
        <v>48</v>
      </c>
      <c r="E5" s="1" t="s">
        <v>49</v>
      </c>
      <c r="F5" s="1" t="s">
        <v>50</v>
      </c>
      <c r="G5" s="1" t="s">
        <v>51</v>
      </c>
      <c r="H5">
        <v>-6.8518395303339696</v>
      </c>
      <c r="I5" s="1" t="s">
        <v>52</v>
      </c>
      <c r="J5">
        <v>5.9158533887220202</v>
      </c>
      <c r="K5" s="1" t="s">
        <v>53</v>
      </c>
      <c r="L5">
        <v>-23.1002421574232</v>
      </c>
      <c r="M5">
        <v>7.5179032232724801</v>
      </c>
      <c r="N5" s="1" t="s">
        <v>54</v>
      </c>
      <c r="O5" s="1" t="s">
        <v>55</v>
      </c>
      <c r="P5">
        <v>27396</v>
      </c>
      <c r="Q5">
        <f t="shared" si="2"/>
        <v>0</v>
      </c>
      <c r="U5" s="2">
        <f t="shared" si="0"/>
        <v>0</v>
      </c>
      <c r="Y5" s="2">
        <f t="shared" si="1"/>
        <v>0</v>
      </c>
    </row>
    <row r="6" spans="1:35" x14ac:dyDescent="0.35">
      <c r="A6" s="1" t="s">
        <v>56</v>
      </c>
      <c r="B6">
        <v>-3.0438158419561301</v>
      </c>
      <c r="C6" s="1" t="s">
        <v>57</v>
      </c>
      <c r="D6">
        <v>-11.7134018002104</v>
      </c>
      <c r="E6" s="1" t="s">
        <v>58</v>
      </c>
      <c r="F6">
        <v>7.5725997271031602</v>
      </c>
      <c r="G6" s="1" t="s">
        <v>59</v>
      </c>
      <c r="H6">
        <v>-6.4189564324203001</v>
      </c>
      <c r="I6" s="1" t="s">
        <v>60</v>
      </c>
      <c r="J6" s="1" t="s">
        <v>61</v>
      </c>
      <c r="K6" s="1" t="s">
        <v>62</v>
      </c>
      <c r="L6" s="1" t="s">
        <v>63</v>
      </c>
      <c r="M6" s="1" t="s">
        <v>64</v>
      </c>
      <c r="N6" s="1" t="s">
        <v>65</v>
      </c>
      <c r="O6" s="1" t="s">
        <v>66</v>
      </c>
      <c r="P6">
        <v>27151</v>
      </c>
      <c r="Q6">
        <f t="shared" si="2"/>
        <v>100</v>
      </c>
      <c r="R6">
        <f>IF(AND(B6&gt;=D6,D6&gt;=C6,C6&gt;=E6),100,0)</f>
        <v>0</v>
      </c>
      <c r="S6">
        <f t="shared" ref="S6" si="3">IF(AND(C6&gt;=E6,E6&gt;=D6,D6&gt;=F6),100,0)</f>
        <v>0</v>
      </c>
      <c r="T6">
        <f t="shared" ref="T6" si="4">IF(AND(D6&gt;=F6,F6&gt;=E6,E6&gt;=G6),100,0)</f>
        <v>0</v>
      </c>
      <c r="U6" s="2">
        <f t="shared" ref="U6:U10" si="5">IF(AND(E6&gt;=G6,G6&gt;=F6,F6&gt;=H6),100,0)</f>
        <v>0</v>
      </c>
      <c r="V6">
        <f t="shared" ref="V6" si="6">IF(AND(F6&gt;=H6,H6&gt;=G6,G6&gt;=I6),100,0)</f>
        <v>0</v>
      </c>
      <c r="W6">
        <f t="shared" ref="W6" si="7">IF(AND(G6&gt;=I6,I6&gt;=H6,H6&gt;=J6),100,0)</f>
        <v>0</v>
      </c>
      <c r="X6">
        <f t="shared" ref="X6" si="8">IF(AND(H6&gt;=J6,J6&gt;=I6,I6&gt;=K6),100,0)</f>
        <v>0</v>
      </c>
      <c r="Y6" s="2">
        <f t="shared" ref="Y6" si="9">IF(AND(I6&gt;=K6,K6&gt;=J6,J6&gt;=L6),100,0)</f>
        <v>0</v>
      </c>
      <c r="Z6">
        <f t="shared" ref="Z6" si="10">IF(AND(J6&gt;=L6,L6&gt;=K6,K6&gt;=M6),100,0)</f>
        <v>0</v>
      </c>
      <c r="AA6">
        <f t="shared" ref="AA6" si="11">IF(AND(K6&gt;=M6,M6&gt;=L6,L6&gt;=N6),100,0)</f>
        <v>100</v>
      </c>
      <c r="AB6">
        <f t="shared" ref="AB6" si="12">IF(AND(L6&gt;=N6,N6&gt;=M6,M6&gt;=O6),100,0)</f>
        <v>0</v>
      </c>
      <c r="AC6">
        <f t="shared" ref="AC6" si="13">IF(AND(M6&gt;=O6,O6&gt;=N6,N6&gt;=P6),100,0)</f>
        <v>0</v>
      </c>
      <c r="AD6">
        <f t="shared" ref="AD6" si="14">IF(AND(N6&gt;=P6,P6&gt;=O6,O6&gt;=Q6),100,0)</f>
        <v>0</v>
      </c>
      <c r="AE6">
        <f t="shared" ref="AE6" si="15">IF(AND(O6&gt;=Q6,Q6&gt;=P6,P6&gt;=R6),100,0)</f>
        <v>0</v>
      </c>
      <c r="AF6">
        <f t="shared" ref="AF6" si="16">IF(AND(P6&gt;=R6,R6&gt;=Q6,Q6&gt;=S6),100,0)</f>
        <v>0</v>
      </c>
      <c r="AG6">
        <f t="shared" ref="AG6" si="17">IF(AND(Q6&gt;=S6,S6&gt;=R6,R6&gt;=T6),100,0)</f>
        <v>100</v>
      </c>
      <c r="AH6">
        <f t="shared" ref="AH6" si="18">IF(AND(R6&gt;=T6,T6&gt;=S6,S6&gt;=U6),100,0)</f>
        <v>100</v>
      </c>
      <c r="AI6">
        <f t="shared" ref="AI6" si="19">IF(AND(S6&gt;=U6,U6&gt;=T6,T6&gt;=V6),100,0)</f>
        <v>100</v>
      </c>
    </row>
    <row r="7" spans="1:35" x14ac:dyDescent="0.35">
      <c r="A7" s="1" t="s">
        <v>67</v>
      </c>
      <c r="B7" s="1" t="s">
        <v>68</v>
      </c>
      <c r="C7" s="1" t="s">
        <v>69</v>
      </c>
      <c r="D7">
        <v>-21.2693692686764</v>
      </c>
      <c r="E7" s="1" t="s">
        <v>70</v>
      </c>
      <c r="F7">
        <v>6.2725171601753602E-2</v>
      </c>
      <c r="G7" s="1" t="s">
        <v>71</v>
      </c>
      <c r="H7">
        <v>-6.4066247874337998</v>
      </c>
      <c r="I7" s="3" t="s">
        <v>72</v>
      </c>
      <c r="J7" s="2">
        <v>-8.5886250519914</v>
      </c>
      <c r="K7" s="3" t="s">
        <v>73</v>
      </c>
      <c r="L7" s="2">
        <v>-38.674434472918897</v>
      </c>
      <c r="M7" s="1" t="s">
        <v>74</v>
      </c>
      <c r="N7" s="1" t="s">
        <v>75</v>
      </c>
      <c r="O7" s="1" t="s">
        <v>76</v>
      </c>
      <c r="P7">
        <v>26139</v>
      </c>
      <c r="Q7">
        <f t="shared" si="2"/>
        <v>0</v>
      </c>
      <c r="U7" s="2">
        <f t="shared" si="0"/>
        <v>0</v>
      </c>
      <c r="Y7" s="2">
        <f t="shared" si="1"/>
        <v>100</v>
      </c>
    </row>
    <row r="8" spans="1:35" x14ac:dyDescent="0.35">
      <c r="A8" s="1" t="s">
        <v>77</v>
      </c>
      <c r="B8">
        <v>-8.9637465475488796</v>
      </c>
      <c r="C8" s="1" t="s">
        <v>78</v>
      </c>
      <c r="D8" s="1" t="s">
        <v>79</v>
      </c>
      <c r="E8">
        <v>36.563654924317902</v>
      </c>
      <c r="F8">
        <v>-8.7534677652298001</v>
      </c>
      <c r="G8" s="1" t="s">
        <v>80</v>
      </c>
      <c r="H8">
        <v>-10.3071267157033</v>
      </c>
      <c r="I8" s="1" t="s">
        <v>81</v>
      </c>
      <c r="J8" s="1" t="s">
        <v>82</v>
      </c>
      <c r="K8" s="1" t="s">
        <v>83</v>
      </c>
      <c r="L8">
        <v>-38.119254788223301</v>
      </c>
      <c r="M8" s="1" t="s">
        <v>84</v>
      </c>
      <c r="N8">
        <v>1.4625439341753099</v>
      </c>
      <c r="O8" s="1" t="s">
        <v>85</v>
      </c>
      <c r="P8">
        <v>26019</v>
      </c>
      <c r="Q8">
        <f t="shared" si="2"/>
        <v>0</v>
      </c>
      <c r="U8" s="2">
        <f t="shared" si="5"/>
        <v>0</v>
      </c>
      <c r="Y8" s="2">
        <f t="shared" si="1"/>
        <v>100</v>
      </c>
    </row>
    <row r="9" spans="1:35" x14ac:dyDescent="0.35">
      <c r="A9">
        <v>35.730563948855902</v>
      </c>
      <c r="B9" s="1" t="s">
        <v>86</v>
      </c>
      <c r="C9" s="1" t="s">
        <v>87</v>
      </c>
      <c r="D9">
        <v>-0.54143806963308805</v>
      </c>
      <c r="E9" s="1" t="s">
        <v>88</v>
      </c>
      <c r="F9">
        <v>-8.2615942382515204</v>
      </c>
      <c r="G9" s="1" t="s">
        <v>89</v>
      </c>
      <c r="H9">
        <v>-10.0711029809351</v>
      </c>
      <c r="I9" s="1" t="s">
        <v>90</v>
      </c>
      <c r="J9">
        <v>-1.3668090754064099</v>
      </c>
      <c r="K9" s="1" t="s">
        <v>91</v>
      </c>
      <c r="L9">
        <v>-25.811204710063699</v>
      </c>
      <c r="M9" s="1" t="s">
        <v>92</v>
      </c>
      <c r="N9" s="1" t="s">
        <v>93</v>
      </c>
      <c r="O9" s="1" t="s">
        <v>94</v>
      </c>
      <c r="P9">
        <v>25810</v>
      </c>
      <c r="Q9">
        <f t="shared" si="2"/>
        <v>0</v>
      </c>
      <c r="U9" s="2">
        <f t="shared" si="0"/>
        <v>0</v>
      </c>
      <c r="Y9" s="2">
        <f t="shared" si="1"/>
        <v>0</v>
      </c>
    </row>
    <row r="10" spans="1:35" x14ac:dyDescent="0.35">
      <c r="A10" s="1" t="s">
        <v>95</v>
      </c>
      <c r="B10">
        <v>5.2143713027671801</v>
      </c>
      <c r="C10" s="1" t="s">
        <v>96</v>
      </c>
      <c r="D10" s="1" t="s">
        <v>97</v>
      </c>
      <c r="E10" s="1" t="s">
        <v>98</v>
      </c>
      <c r="F10">
        <v>-8.5835895716030794</v>
      </c>
      <c r="G10" s="1" t="s">
        <v>99</v>
      </c>
      <c r="H10">
        <v>-12.761212081172999</v>
      </c>
      <c r="I10" s="1" t="s">
        <v>100</v>
      </c>
      <c r="J10" s="1" t="s">
        <v>101</v>
      </c>
      <c r="K10" s="1" t="s">
        <v>102</v>
      </c>
      <c r="L10">
        <v>-32.528031435652402</v>
      </c>
      <c r="M10" s="1" t="s">
        <v>103</v>
      </c>
      <c r="N10" s="1" t="s">
        <v>104</v>
      </c>
      <c r="O10" s="1" t="s">
        <v>105</v>
      </c>
      <c r="P10">
        <v>25535</v>
      </c>
      <c r="Q10">
        <f t="shared" si="2"/>
        <v>0</v>
      </c>
      <c r="U10" s="2">
        <f t="shared" si="5"/>
        <v>0</v>
      </c>
      <c r="Y10" s="2">
        <f t="shared" si="1"/>
        <v>0</v>
      </c>
    </row>
    <row r="11" spans="1:35" x14ac:dyDescent="0.35">
      <c r="A11" s="1" t="s">
        <v>106</v>
      </c>
      <c r="B11" s="1" t="s">
        <v>107</v>
      </c>
      <c r="C11" s="1" t="s">
        <v>108</v>
      </c>
      <c r="D11">
        <v>-0.54982178144906102</v>
      </c>
      <c r="E11" s="1" t="s">
        <v>109</v>
      </c>
      <c r="F11">
        <v>-1.9044237440798299</v>
      </c>
      <c r="G11" s="1" t="s">
        <v>110</v>
      </c>
      <c r="H11">
        <v>-36.313481113376497</v>
      </c>
      <c r="I11" s="1" t="s">
        <v>111</v>
      </c>
      <c r="J11">
        <v>-1.4953717802100499</v>
      </c>
      <c r="K11" s="1" t="s">
        <v>112</v>
      </c>
      <c r="L11">
        <v>-5.3248071799347896</v>
      </c>
      <c r="M11" s="1" t="s">
        <v>113</v>
      </c>
      <c r="N11" s="1" t="s">
        <v>114</v>
      </c>
      <c r="O11" s="1" t="s">
        <v>115</v>
      </c>
      <c r="P11">
        <v>25460</v>
      </c>
      <c r="Q11">
        <f t="shared" si="2"/>
        <v>0</v>
      </c>
      <c r="U11" s="2">
        <f t="shared" si="0"/>
        <v>0</v>
      </c>
      <c r="Y11" s="2">
        <f t="shared" si="1"/>
        <v>100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top_10_strategies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Minjae Kim</dc:creator>
  <cp:lastModifiedBy>Kim, Minjae</cp:lastModifiedBy>
  <dcterms:created xsi:type="dcterms:W3CDTF">2025-04-12T16:31:36Z</dcterms:created>
  <dcterms:modified xsi:type="dcterms:W3CDTF">2025-04-12T16:31:36Z</dcterms:modified>
</cp:coreProperties>
</file>