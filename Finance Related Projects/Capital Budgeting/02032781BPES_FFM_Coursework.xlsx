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Gram3\Documents\GitHub\Imperial\ME3\FFM\"/>
    </mc:Choice>
  </mc:AlternateContent>
  <xr:revisionPtr revIDLastSave="0" documentId="8_{91904FEE-818F-4B44-9BCC-C46C27BF8FEE}" xr6:coauthVersionLast="47" xr6:coauthVersionMax="47" xr10:uidLastSave="{00000000-0000-0000-0000-000000000000}"/>
  <bookViews>
    <workbookView xWindow="-110" yWindow="-110" windowWidth="25820" windowHeight="15500" xr2:uid="{5AFA8ED3-0A5F-4858-B773-D886D04FE45C}"/>
  </bookViews>
  <sheets>
    <sheet name="CONSTANTS" sheetId="2" r:id="rId1"/>
    <sheet name="2025 Expenses" sheetId="3" r:id="rId2"/>
    <sheet name="Question 1" sheetId="1" r:id="rId3"/>
    <sheet name="Question 2" sheetId="5" r:id="rId4"/>
    <sheet name="Question 3 + 4" sheetId="6" r:id="rId5"/>
    <sheet name="Wrangling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6" l="1"/>
  <c r="I14" i="4" s="1"/>
  <c r="J14" i="4" s="1"/>
  <c r="J21" i="4" s="1"/>
  <c r="A54" i="6"/>
  <c r="B25" i="4" s="1"/>
  <c r="C25" i="4" s="1"/>
  <c r="C30" i="4" s="1"/>
  <c r="A55" i="6"/>
  <c r="I25" i="4" s="1"/>
  <c r="J25" i="4" s="1"/>
  <c r="K25" i="4" s="1"/>
  <c r="L25" i="4" s="1"/>
  <c r="M25" i="4" s="1"/>
  <c r="N25" i="4" s="1"/>
  <c r="A56" i="6"/>
  <c r="Q26" i="4" s="1"/>
  <c r="R26" i="4" s="1"/>
  <c r="S26" i="4" s="1"/>
  <c r="T26" i="4" s="1"/>
  <c r="U26" i="4" s="1"/>
  <c r="V26" i="4" s="1"/>
  <c r="A57" i="6"/>
  <c r="M6" i="4" s="1"/>
  <c r="N6" i="4" s="1"/>
  <c r="A58" i="6"/>
  <c r="F4" i="4" s="1"/>
  <c r="G4" i="4" s="1"/>
  <c r="A59" i="6"/>
  <c r="Q27" i="4" s="1"/>
  <c r="R27" i="4" s="1"/>
  <c r="S27" i="4" s="1"/>
  <c r="T27" i="4" s="1"/>
  <c r="U27" i="4" s="1"/>
  <c r="V27" i="4" s="1"/>
  <c r="A52" i="6"/>
  <c r="R29" i="4"/>
  <c r="S29" i="4" s="1"/>
  <c r="T29" i="4" s="1"/>
  <c r="U29" i="4" s="1"/>
  <c r="V29" i="4" s="1"/>
  <c r="G16" i="1"/>
  <c r="F16" i="1"/>
  <c r="E16" i="1"/>
  <c r="D16" i="1"/>
  <c r="C16" i="1"/>
  <c r="B16" i="1"/>
  <c r="B9" i="1"/>
  <c r="B15" i="1" s="1"/>
  <c r="B8" i="1"/>
  <c r="B17" i="2"/>
  <c r="B18" i="2" s="1"/>
  <c r="C20" i="1" s="1"/>
  <c r="C29" i="4"/>
  <c r="D29" i="4" s="1"/>
  <c r="E29" i="4" s="1"/>
  <c r="F29" i="4" s="1"/>
  <c r="G29" i="4" s="1"/>
  <c r="J29" i="4"/>
  <c r="K29" i="4" s="1"/>
  <c r="L29" i="4" s="1"/>
  <c r="M29" i="4" s="1"/>
  <c r="N29" i="4" s="1"/>
  <c r="R31" i="4"/>
  <c r="S31" i="4"/>
  <c r="T31" i="4"/>
  <c r="U31" i="4"/>
  <c r="V31" i="4"/>
  <c r="R33" i="4"/>
  <c r="S33" i="4"/>
  <c r="T33" i="4"/>
  <c r="U33" i="4"/>
  <c r="V33" i="4"/>
  <c r="R36" i="4"/>
  <c r="C10" i="1" s="1"/>
  <c r="S36" i="4"/>
  <c r="D10" i="1" s="1"/>
  <c r="T36" i="4"/>
  <c r="E10" i="1" s="1"/>
  <c r="U36" i="4"/>
  <c r="F10" i="1" s="1"/>
  <c r="V36" i="4"/>
  <c r="G10" i="1" s="1"/>
  <c r="B37" i="4"/>
  <c r="B11" i="1" l="1"/>
  <c r="B12" i="1" s="1"/>
  <c r="B13" i="1" s="1"/>
  <c r="B19" i="1" s="1"/>
  <c r="D9" i="1"/>
  <c r="D15" i="1" s="1"/>
  <c r="G9" i="1"/>
  <c r="G15" i="1" s="1"/>
  <c r="F9" i="1"/>
  <c r="F15" i="1" s="1"/>
  <c r="W34" i="4"/>
  <c r="E9" i="1"/>
  <c r="E15" i="1" s="1"/>
  <c r="F3" i="4"/>
  <c r="G3" i="4" s="1"/>
  <c r="M5" i="4"/>
  <c r="N5" i="4" s="1"/>
  <c r="M4" i="4"/>
  <c r="N4" i="4" s="1"/>
  <c r="F7" i="4"/>
  <c r="G7" i="4" s="1"/>
  <c r="F6" i="4"/>
  <c r="G6" i="4" s="1"/>
  <c r="F5" i="4"/>
  <c r="G5" i="4" s="1"/>
  <c r="M3" i="4"/>
  <c r="N3" i="4" s="1"/>
  <c r="M7" i="4"/>
  <c r="N7" i="4" s="1"/>
  <c r="D7" i="1"/>
  <c r="C7" i="1"/>
  <c r="J18" i="4"/>
  <c r="C9" i="1"/>
  <c r="C15" i="1" s="1"/>
  <c r="G5" i="5"/>
  <c r="G6" i="5"/>
  <c r="J20" i="4"/>
  <c r="K14" i="4"/>
  <c r="D25" i="4"/>
  <c r="E25" i="4" s="1"/>
  <c r="F25" i="4" s="1"/>
  <c r="G25" i="4" s="1"/>
  <c r="C41" i="4"/>
  <c r="C43" i="4"/>
  <c r="K30" i="4"/>
  <c r="J30" i="4"/>
  <c r="C5" i="1" s="1"/>
  <c r="J19" i="4"/>
  <c r="J17" i="4"/>
  <c r="E7" i="1" l="1"/>
  <c r="B21" i="1"/>
  <c r="B25" i="1"/>
  <c r="J22" i="4"/>
  <c r="K20" i="4"/>
  <c r="L14" i="4"/>
  <c r="K18" i="4"/>
  <c r="D30" i="4"/>
  <c r="D5" i="1" s="1"/>
  <c r="E30" i="4"/>
  <c r="K21" i="4"/>
  <c r="K17" i="4"/>
  <c r="K19" i="4"/>
  <c r="K41" i="4"/>
  <c r="K43" i="4"/>
  <c r="J43" i="4"/>
  <c r="J41" i="4"/>
  <c r="F30" i="4"/>
  <c r="G30" i="4"/>
  <c r="L30" i="4"/>
  <c r="F7" i="1" l="1"/>
  <c r="E5" i="1"/>
  <c r="E41" i="4"/>
  <c r="E43" i="4"/>
  <c r="D41" i="4"/>
  <c r="D43" i="4"/>
  <c r="J37" i="4"/>
  <c r="J39" i="4" s="1"/>
  <c r="K22" i="4"/>
  <c r="K37" i="4" s="1"/>
  <c r="J42" i="4"/>
  <c r="L20" i="4"/>
  <c r="L18" i="4"/>
  <c r="M14" i="4"/>
  <c r="L19" i="4"/>
  <c r="L21" i="4"/>
  <c r="L17" i="4"/>
  <c r="L43" i="4"/>
  <c r="L41" i="4"/>
  <c r="G41" i="4"/>
  <c r="G43" i="4"/>
  <c r="F43" i="4"/>
  <c r="F41" i="4"/>
  <c r="N30" i="4"/>
  <c r="G5" i="1" s="1"/>
  <c r="M30" i="4"/>
  <c r="F5" i="1" s="1"/>
  <c r="G7" i="1" l="1"/>
  <c r="K39" i="4"/>
  <c r="L22" i="4"/>
  <c r="L37" i="4" s="1"/>
  <c r="L39" i="4" s="1"/>
  <c r="K42" i="4"/>
  <c r="M17" i="4"/>
  <c r="N14" i="4"/>
  <c r="M21" i="4"/>
  <c r="M19" i="4"/>
  <c r="M18" i="4"/>
  <c r="M20" i="4"/>
  <c r="M43" i="4"/>
  <c r="M41" i="4"/>
  <c r="N43" i="4"/>
  <c r="I2" i="5" s="1"/>
  <c r="N41" i="4"/>
  <c r="G3" i="5" s="1"/>
  <c r="L42" i="4" l="1"/>
  <c r="N17" i="4"/>
  <c r="N20" i="4"/>
  <c r="N18" i="4"/>
  <c r="N19" i="4"/>
  <c r="N21" i="4"/>
  <c r="M22" i="4"/>
  <c r="M42" i="4" l="1"/>
  <c r="M37" i="4"/>
  <c r="M39" i="4" s="1"/>
  <c r="N22" i="4"/>
  <c r="N42" i="4" l="1"/>
  <c r="N37" i="4"/>
  <c r="N39" i="4" s="1"/>
  <c r="B14" i="4"/>
  <c r="C14" i="4" s="1"/>
  <c r="D14" i="4" s="1"/>
  <c r="D21" i="4" l="1"/>
  <c r="E14" i="4"/>
  <c r="F14" i="4" s="1"/>
  <c r="D17" i="4"/>
  <c r="D19" i="4"/>
  <c r="C17" i="4"/>
  <c r="C21" i="4"/>
  <c r="C20" i="4"/>
  <c r="C18" i="4"/>
  <c r="C19" i="4"/>
  <c r="D20" i="4"/>
  <c r="D18" i="4"/>
  <c r="E20" i="4" l="1"/>
  <c r="D22" i="4"/>
  <c r="D37" i="4" s="1"/>
  <c r="C22" i="4"/>
  <c r="E21" i="4"/>
  <c r="E17" i="4"/>
  <c r="E18" i="4"/>
  <c r="E19" i="4"/>
  <c r="F19" i="4"/>
  <c r="F21" i="4"/>
  <c r="F20" i="4"/>
  <c r="F17" i="4"/>
  <c r="F18" i="4"/>
  <c r="G14" i="4"/>
  <c r="D4" i="1" l="1"/>
  <c r="D6" i="1" s="1"/>
  <c r="D11" i="1" s="1"/>
  <c r="D12" i="1" s="1"/>
  <c r="D13" i="1" s="1"/>
  <c r="E22" i="4"/>
  <c r="E4" i="1" s="1"/>
  <c r="E6" i="1" s="1"/>
  <c r="E11" i="1" s="1"/>
  <c r="E12" i="1" s="1"/>
  <c r="E13" i="1" s="1"/>
  <c r="D42" i="4"/>
  <c r="C42" i="4"/>
  <c r="C37" i="4"/>
  <c r="C39" i="4" s="1"/>
  <c r="C17" i="1" s="1"/>
  <c r="C4" i="1"/>
  <c r="C6" i="1" s="1"/>
  <c r="C11" i="1" s="1"/>
  <c r="C12" i="1" s="1"/>
  <c r="C13" i="1" s="1"/>
  <c r="G19" i="4"/>
  <c r="G21" i="4"/>
  <c r="G17" i="4"/>
  <c r="G20" i="4"/>
  <c r="G18" i="4"/>
  <c r="F22" i="4"/>
  <c r="C19" i="1" l="1"/>
  <c r="C25" i="1" s="1"/>
  <c r="E42" i="4"/>
  <c r="E37" i="4"/>
  <c r="E39" i="4" s="1"/>
  <c r="E17" i="1" s="1"/>
  <c r="E19" i="1" s="1"/>
  <c r="E21" i="1" s="1"/>
  <c r="D39" i="4"/>
  <c r="D17" i="1" s="1"/>
  <c r="D19" i="1" s="1"/>
  <c r="F42" i="4"/>
  <c r="F4" i="1"/>
  <c r="F6" i="1" s="1"/>
  <c r="F11" i="1" s="1"/>
  <c r="F37" i="4"/>
  <c r="G22" i="4"/>
  <c r="F39" i="4" l="1"/>
  <c r="F17" i="1" s="1"/>
  <c r="C21" i="1"/>
  <c r="G42" i="4"/>
  <c r="G4" i="5" s="1"/>
  <c r="G4" i="1"/>
  <c r="G6" i="1" s="1"/>
  <c r="G11" i="1" s="1"/>
  <c r="G37" i="4"/>
  <c r="F12" i="1"/>
  <c r="F13" i="1" s="1"/>
  <c r="D21" i="1"/>
  <c r="D25" i="1"/>
  <c r="E25" i="1"/>
  <c r="I4" i="5" s="1"/>
  <c r="F19" i="1" l="1"/>
  <c r="G39" i="4"/>
  <c r="G17" i="1" s="1"/>
  <c r="W38" i="4"/>
  <c r="H18" i="1" s="1"/>
  <c r="H19" i="1" s="1"/>
  <c r="H21" i="1" s="1"/>
  <c r="G12" i="1"/>
  <c r="G13" i="1" s="1"/>
  <c r="G19" i="1" l="1"/>
  <c r="G21" i="1" s="1"/>
  <c r="I3" i="5"/>
  <c r="I5" i="5" s="1"/>
  <c r="I7" i="5" s="1"/>
  <c r="G2" i="5" s="1"/>
  <c r="G7" i="5" s="1"/>
  <c r="F21" i="1"/>
  <c r="F25" i="1"/>
  <c r="G25" i="1" l="1"/>
  <c r="H26" i="1" s="1"/>
  <c r="H27" i="1" s="1"/>
  <c r="B23" i="1"/>
  <c r="B63" i="6" s="1"/>
  <c r="H25" i="1"/>
  <c r="B22" i="1"/>
  <c r="B62" i="6" l="1"/>
  <c r="U2" i="6"/>
  <c r="AC2" i="6"/>
  <c r="AJ2" i="6"/>
  <c r="C2" i="6"/>
  <c r="M2" i="6"/>
</calcChain>
</file>

<file path=xl/sharedStrings.xml><?xml version="1.0" encoding="utf-8"?>
<sst xmlns="http://schemas.openxmlformats.org/spreadsheetml/2006/main" count="124" uniqueCount="98">
  <si>
    <t>Water</t>
    <phoneticPr fontId="2" type="noConversion"/>
  </si>
  <si>
    <t>Winter</t>
    <phoneticPr fontId="2" type="noConversion"/>
  </si>
  <si>
    <t>France</t>
    <phoneticPr fontId="2" type="noConversion"/>
  </si>
  <si>
    <t>UK</t>
    <phoneticPr fontId="2" type="noConversion"/>
  </si>
  <si>
    <t>Italy</t>
    <phoneticPr fontId="2" type="noConversion"/>
  </si>
  <si>
    <t>Spain</t>
    <phoneticPr fontId="2" type="noConversion"/>
  </si>
  <si>
    <t>Portugal</t>
    <phoneticPr fontId="2" type="noConversion"/>
  </si>
  <si>
    <t>Forecasted Unit Selling Price</t>
    <phoneticPr fontId="2" type="noConversion"/>
  </si>
  <si>
    <t>TOTAL</t>
    <phoneticPr fontId="2" type="noConversion"/>
  </si>
  <si>
    <t>Risk Free Rate</t>
    <phoneticPr fontId="2" type="noConversion"/>
  </si>
  <si>
    <t>Corporate Tax Rate</t>
    <phoneticPr fontId="2" type="noConversion"/>
  </si>
  <si>
    <t>Market Risk Premium</t>
    <phoneticPr fontId="2" type="noConversion"/>
  </si>
  <si>
    <t>Shared</t>
    <phoneticPr fontId="2" type="noConversion"/>
  </si>
  <si>
    <t>Cost Per Unit Sold</t>
    <phoneticPr fontId="2" type="noConversion"/>
  </si>
  <si>
    <t>Admin and General Expenses</t>
    <phoneticPr fontId="2" type="noConversion"/>
  </si>
  <si>
    <t>Marketing and Sales</t>
    <phoneticPr fontId="2" type="noConversion"/>
  </si>
  <si>
    <t>Research and Development</t>
    <phoneticPr fontId="2" type="noConversion"/>
  </si>
  <si>
    <t>Other operational costs</t>
    <phoneticPr fontId="2" type="noConversion"/>
  </si>
  <si>
    <t>Interest</t>
    <phoneticPr fontId="2" type="noConversion"/>
  </si>
  <si>
    <t>Forecasted Expenses</t>
    <phoneticPr fontId="2" type="noConversion"/>
  </si>
  <si>
    <t xml:space="preserve">Cost per Unit Sold </t>
    <phoneticPr fontId="2" type="noConversion"/>
  </si>
  <si>
    <t>Forecasted Sales</t>
    <phoneticPr fontId="2" type="noConversion"/>
  </si>
  <si>
    <t xml:space="preserve"> </t>
    <phoneticPr fontId="2" type="noConversion"/>
  </si>
  <si>
    <t>CapEx</t>
    <phoneticPr fontId="2" type="noConversion"/>
  </si>
  <si>
    <t xml:space="preserve">Warehouse and plant </t>
    <phoneticPr fontId="2" type="noConversion"/>
  </si>
  <si>
    <t xml:space="preserve">Equipment </t>
    <phoneticPr fontId="2" type="noConversion"/>
  </si>
  <si>
    <t>Equipment Depreciation Rate</t>
    <phoneticPr fontId="2" type="noConversion"/>
  </si>
  <si>
    <t>Warehouse and Plan Depreciation Rate</t>
    <phoneticPr fontId="2" type="noConversion"/>
  </si>
  <si>
    <t>Equipment Depreciation</t>
    <phoneticPr fontId="2" type="noConversion"/>
  </si>
  <si>
    <t>Equipment Book Value</t>
    <phoneticPr fontId="2" type="noConversion"/>
  </si>
  <si>
    <t>Monthly Rent</t>
    <phoneticPr fontId="2" type="noConversion"/>
  </si>
  <si>
    <t>Opportunity Cost(Rent)</t>
    <phoneticPr fontId="2" type="noConversion"/>
  </si>
  <si>
    <t>COGS</t>
    <phoneticPr fontId="2" type="noConversion"/>
  </si>
  <si>
    <t>Earnings Forecast</t>
    <phoneticPr fontId="2" type="noConversion"/>
  </si>
  <si>
    <t>Sales</t>
    <phoneticPr fontId="2" type="noConversion"/>
  </si>
  <si>
    <t>Gross Profit</t>
    <phoneticPr fontId="2" type="noConversion"/>
  </si>
  <si>
    <t>Selling, General, Administrative</t>
    <phoneticPr fontId="2" type="noConversion"/>
  </si>
  <si>
    <t>Forecasted Sales (GBP)</t>
    <phoneticPr fontId="2" type="noConversion"/>
  </si>
  <si>
    <t>Research and Devlopment</t>
    <phoneticPr fontId="2" type="noConversion"/>
  </si>
  <si>
    <t>Depreciation</t>
    <phoneticPr fontId="2" type="noConversion"/>
  </si>
  <si>
    <t>Warehouse and Plant Depreciation</t>
    <phoneticPr fontId="2" type="noConversion"/>
  </si>
  <si>
    <t>EBIT</t>
    <phoneticPr fontId="2" type="noConversion"/>
  </si>
  <si>
    <t>Corporate Tax</t>
    <phoneticPr fontId="2" type="noConversion"/>
  </si>
  <si>
    <t>Unlevered Net Income</t>
    <phoneticPr fontId="2" type="noConversion"/>
  </si>
  <si>
    <t xml:space="preserve">Opportunity Cost for Rent </t>
    <phoneticPr fontId="2" type="noConversion"/>
  </si>
  <si>
    <t>Free Cash Flow</t>
    <phoneticPr fontId="2" type="noConversion"/>
  </si>
  <si>
    <t>Change in NWC</t>
    <phoneticPr fontId="2" type="noConversion"/>
  </si>
  <si>
    <t>Estimated NWC</t>
    <phoneticPr fontId="2" type="noConversion"/>
  </si>
  <si>
    <t>NWC</t>
    <phoneticPr fontId="2" type="noConversion"/>
  </si>
  <si>
    <t>Inventory</t>
    <phoneticPr fontId="2" type="noConversion"/>
  </si>
  <si>
    <t>Receivables</t>
    <phoneticPr fontId="2" type="noConversion"/>
  </si>
  <si>
    <t>of COGs</t>
    <phoneticPr fontId="2" type="noConversion"/>
  </si>
  <si>
    <t>of Sales</t>
    <phoneticPr fontId="2" type="noConversion"/>
  </si>
  <si>
    <t>Payables</t>
    <phoneticPr fontId="2" type="noConversion"/>
  </si>
  <si>
    <t>Net Present Value</t>
    <phoneticPr fontId="2" type="noConversion"/>
  </si>
  <si>
    <t>Unlevered Beta</t>
    <phoneticPr fontId="2" type="noConversion"/>
  </si>
  <si>
    <t>Comparable Beta</t>
    <phoneticPr fontId="2" type="noConversion"/>
  </si>
  <si>
    <t>Comparable D/E Ratio</t>
    <phoneticPr fontId="2" type="noConversion"/>
  </si>
  <si>
    <t>Estimated WACC using CAPM</t>
    <phoneticPr fontId="2" type="noConversion"/>
  </si>
  <si>
    <t>Estimated WACC:</t>
    <phoneticPr fontId="2" type="noConversion"/>
  </si>
  <si>
    <t>FCF PV</t>
    <phoneticPr fontId="2" type="noConversion"/>
  </si>
  <si>
    <t>NPV</t>
    <phoneticPr fontId="2" type="noConversion"/>
  </si>
  <si>
    <t>Salvage and NWC Recovery</t>
    <phoneticPr fontId="2" type="noConversion"/>
  </si>
  <si>
    <t>Salvage, NWC Recovery</t>
    <phoneticPr fontId="2" type="noConversion"/>
  </si>
  <si>
    <t>Delta NWC</t>
    <phoneticPr fontId="2" type="noConversion"/>
  </si>
  <si>
    <t>IRR</t>
    <phoneticPr fontId="2" type="noConversion"/>
  </si>
  <si>
    <t>Payback</t>
    <phoneticPr fontId="2" type="noConversion"/>
  </si>
  <si>
    <t>Cumilative</t>
    <phoneticPr fontId="2" type="noConversion"/>
  </si>
  <si>
    <t>Approx</t>
    <phoneticPr fontId="2" type="noConversion"/>
  </si>
  <si>
    <t>years</t>
    <phoneticPr fontId="2" type="noConversion"/>
  </si>
  <si>
    <t>Retained Earnings</t>
    <phoneticPr fontId="2" type="noConversion"/>
  </si>
  <si>
    <t>Injected Capital</t>
    <phoneticPr fontId="2" type="noConversion"/>
  </si>
  <si>
    <t>Assets</t>
    <phoneticPr fontId="2" type="noConversion"/>
  </si>
  <si>
    <t>Liability and Stockholder's Equity</t>
    <phoneticPr fontId="2" type="noConversion"/>
  </si>
  <si>
    <t>Warehouse and Plant</t>
    <phoneticPr fontId="2" type="noConversion"/>
  </si>
  <si>
    <t>Equipment</t>
    <phoneticPr fontId="2" type="noConversion"/>
  </si>
  <si>
    <t>Cash</t>
    <phoneticPr fontId="2" type="noConversion"/>
  </si>
  <si>
    <t>Net Equity</t>
    <phoneticPr fontId="2" type="noConversion"/>
  </si>
  <si>
    <t>Total Liabilities and Stockholders Equity</t>
    <phoneticPr fontId="2" type="noConversion"/>
  </si>
  <si>
    <t>Total Assets</t>
    <phoneticPr fontId="2" type="noConversion"/>
  </si>
  <si>
    <t>Sale Price of Winter Sports</t>
    <phoneticPr fontId="2" type="noConversion"/>
  </si>
  <si>
    <t>Sale Price of Water Sports</t>
    <phoneticPr fontId="2" type="noConversion"/>
  </si>
  <si>
    <t>CPU of Winter Sports</t>
    <phoneticPr fontId="2" type="noConversion"/>
  </si>
  <si>
    <t>CPU of Water Sports</t>
    <phoneticPr fontId="2" type="noConversion"/>
  </si>
  <si>
    <t>QUESTION 3</t>
    <phoneticPr fontId="2" type="noConversion"/>
  </si>
  <si>
    <t>QUESTION 4</t>
    <phoneticPr fontId="2" type="noConversion"/>
  </si>
  <si>
    <t>Initial Sale Price of water sports</t>
    <phoneticPr fontId="2" type="noConversion"/>
  </si>
  <si>
    <t>Initial Sale Price of winter sports</t>
    <phoneticPr fontId="2" type="noConversion"/>
  </si>
  <si>
    <t>Initial Cost per Unit of water sports</t>
    <phoneticPr fontId="2" type="noConversion"/>
  </si>
  <si>
    <t>Initial Cost per Unit of winter sports</t>
    <phoneticPr fontId="2" type="noConversion"/>
  </si>
  <si>
    <t>Initial admin and general expenses</t>
    <phoneticPr fontId="2" type="noConversion"/>
  </si>
  <si>
    <t>Pessimistic</t>
    <phoneticPr fontId="2" type="noConversion"/>
  </si>
  <si>
    <t>Optimistic</t>
    <phoneticPr fontId="2" type="noConversion"/>
  </si>
  <si>
    <t>Sales growth rate for 2029 and 2030 (Winter)</t>
    <phoneticPr fontId="2" type="noConversion"/>
  </si>
  <si>
    <t>Sales growth rate for 2029 and 2030 (Water)</t>
    <phoneticPr fontId="2" type="noConversion"/>
  </si>
  <si>
    <t>STANDARD</t>
    <phoneticPr fontId="2" type="noConversion"/>
  </si>
  <si>
    <t>Scenario</t>
    <phoneticPr fontId="2" type="noConversion"/>
  </si>
  <si>
    <t>Default Values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</si>
</sst>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£-809]#,##0.00_);[Red]\([$£-809]#,##0.00\)"/>
    <numFmt numFmtId="177" formatCode="[$£-809]#,##0.00"/>
    <numFmt numFmtId="178" formatCode="&quot;£&quot;#,##0.00_);[Red]\(&quot;£&quot;#,##0.00\)"/>
    <numFmt numFmtId="179" formatCode="0.0000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u/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2"/>
      <scheme val="minor"/>
    </font>
    <font>
      <b/>
      <u/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b/>
      <u/>
      <sz val="26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3" fillId="0" borderId="0" xfId="0" applyFont="1">
      <alignment vertical="center"/>
    </xf>
    <xf numFmtId="2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0" fillId="0" borderId="0" xfId="0" quotePrefix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177" fontId="0" fillId="0" borderId="0" xfId="0" applyNumberFormat="1">
      <alignment vertical="center"/>
    </xf>
    <xf numFmtId="0" fontId="11" fillId="0" borderId="0" xfId="0" applyFont="1">
      <alignment vertical="center"/>
    </xf>
    <xf numFmtId="176" fontId="10" fillId="0" borderId="0" xfId="0" applyNumberFormat="1" applyFont="1">
      <alignment vertical="center"/>
    </xf>
    <xf numFmtId="178" fontId="0" fillId="0" borderId="0" xfId="0" applyNumberFormat="1">
      <alignment vertical="center"/>
    </xf>
    <xf numFmtId="176" fontId="12" fillId="0" borderId="0" xfId="0" applyNumberFormat="1" applyFont="1">
      <alignment vertical="center"/>
    </xf>
    <xf numFmtId="178" fontId="3" fillId="0" borderId="0" xfId="0" applyNumberFormat="1" applyFont="1">
      <alignment vertical="center"/>
    </xf>
    <xf numFmtId="10" fontId="12" fillId="0" borderId="0" xfId="0" applyNumberFormat="1" applyFont="1">
      <alignment vertical="center"/>
    </xf>
    <xf numFmtId="10" fontId="0" fillId="0" borderId="0" xfId="0" applyNumberFormat="1">
      <alignment vertical="center"/>
    </xf>
    <xf numFmtId="0" fontId="13" fillId="0" borderId="0" xfId="0" applyFont="1">
      <alignment vertical="center"/>
    </xf>
    <xf numFmtId="17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NPV - Winter Sport Sale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5508826063912687E-2"/>
                  <c:y val="1.50930335891559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'Question 3 + 4'!$B$3:$B$15</c:f>
              <c:numCache>
                <c:formatCode>[$£-809]#,##0.00_);[Red]\([$£-809]#,##0.00\)</c:formatCode>
                <c:ptCount val="13"/>
                <c:pt idx="0">
                  <c:v>100</c:v>
                </c:pt>
                <c:pt idx="1">
                  <c:v>125</c:v>
                </c:pt>
                <c:pt idx="2">
                  <c:v>150</c:v>
                </c:pt>
                <c:pt idx="3">
                  <c:v>175</c:v>
                </c:pt>
                <c:pt idx="4">
                  <c:v>200</c:v>
                </c:pt>
                <c:pt idx="5">
                  <c:v>225</c:v>
                </c:pt>
                <c:pt idx="6">
                  <c:v>250</c:v>
                </c:pt>
                <c:pt idx="7">
                  <c:v>275</c:v>
                </c:pt>
                <c:pt idx="8">
                  <c:v>300</c:v>
                </c:pt>
                <c:pt idx="9">
                  <c:v>325</c:v>
                </c:pt>
                <c:pt idx="10">
                  <c:v>350</c:v>
                </c:pt>
                <c:pt idx="11">
                  <c:v>375</c:v>
                </c:pt>
                <c:pt idx="12">
                  <c:v>400</c:v>
                </c:pt>
              </c:numCache>
            </c:numRef>
          </c:xVal>
          <c:yVal>
            <c:numRef>
              <c:f>'Question 3 + 4'!$C$3:$C$15</c:f>
              <c:numCache>
                <c:formatCode>[$£-809]#,##0.00_);[Red]\([$£-809]#,##0.00\)</c:formatCode>
                <c:ptCount val="13"/>
                <c:pt idx="0">
                  <c:v>-2726557.3324665586</c:v>
                </c:pt>
                <c:pt idx="1">
                  <c:v>-2209230.8561956533</c:v>
                </c:pt>
                <c:pt idx="2">
                  <c:v>-1691904.3799247474</c:v>
                </c:pt>
                <c:pt idx="3">
                  <c:v>-1174577.9036538419</c:v>
                </c:pt>
                <c:pt idx="4">
                  <c:v>-657251.42738293647</c:v>
                </c:pt>
                <c:pt idx="5">
                  <c:v>-139924.95111203054</c:v>
                </c:pt>
                <c:pt idx="6">
                  <c:v>377401.52515887422</c:v>
                </c:pt>
                <c:pt idx="7">
                  <c:v>894728.00142977969</c:v>
                </c:pt>
                <c:pt idx="8">
                  <c:v>1412054.4777006852</c:v>
                </c:pt>
                <c:pt idx="9">
                  <c:v>1929380.9539715918</c:v>
                </c:pt>
                <c:pt idx="10">
                  <c:v>2446707.430242497</c:v>
                </c:pt>
                <c:pt idx="11">
                  <c:v>2964033.9065134018</c:v>
                </c:pt>
                <c:pt idx="12">
                  <c:v>3481360.3827843079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22-4E92-8CE8-C2813BD92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452608"/>
        <c:axId val="1002453088"/>
      </c:scatterChart>
      <c:valAx>
        <c:axId val="100245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.00_);[Red]\([$£-809]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2453088"/>
        <c:crosses val="autoZero"/>
        <c:crossBetween val="midCat"/>
      </c:valAx>
      <c:valAx>
        <c:axId val="100245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.00_);[Red]\([$£-809]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245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NPV - Water Sport Sale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NPV-Water Sports Sale Price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6996161224624651E-2"/>
                  <c:y val="1.41089504508284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'Question 3 + 4'!$L$3:$L$24</c:f>
              <c:numCache>
                <c:formatCode>[$£-809]#,##0.00_);[Red]\([$£-809]#,##0.00\)</c:formatCode>
                <c:ptCount val="22"/>
                <c:pt idx="0">
                  <c:v>175</c:v>
                </c:pt>
                <c:pt idx="1">
                  <c:v>200</c:v>
                </c:pt>
                <c:pt idx="2">
                  <c:v>225</c:v>
                </c:pt>
                <c:pt idx="3">
                  <c:v>250</c:v>
                </c:pt>
                <c:pt idx="4">
                  <c:v>275</c:v>
                </c:pt>
                <c:pt idx="5">
                  <c:v>300</c:v>
                </c:pt>
                <c:pt idx="6">
                  <c:v>325</c:v>
                </c:pt>
                <c:pt idx="7">
                  <c:v>350</c:v>
                </c:pt>
                <c:pt idx="8">
                  <c:v>375</c:v>
                </c:pt>
                <c:pt idx="9">
                  <c:v>400</c:v>
                </c:pt>
                <c:pt idx="10">
                  <c:v>425</c:v>
                </c:pt>
                <c:pt idx="11">
                  <c:v>450</c:v>
                </c:pt>
                <c:pt idx="12">
                  <c:v>475</c:v>
                </c:pt>
                <c:pt idx="13">
                  <c:v>500</c:v>
                </c:pt>
                <c:pt idx="14">
                  <c:v>525</c:v>
                </c:pt>
                <c:pt idx="15">
                  <c:v>550</c:v>
                </c:pt>
                <c:pt idx="16">
                  <c:v>575</c:v>
                </c:pt>
                <c:pt idx="17">
                  <c:v>600</c:v>
                </c:pt>
                <c:pt idx="18">
                  <c:v>625</c:v>
                </c:pt>
                <c:pt idx="19">
                  <c:v>650</c:v>
                </c:pt>
                <c:pt idx="20">
                  <c:v>675</c:v>
                </c:pt>
                <c:pt idx="21">
                  <c:v>700</c:v>
                </c:pt>
              </c:numCache>
            </c:numRef>
          </c:xVal>
          <c:yVal>
            <c:numRef>
              <c:f>'Question 3 + 4'!$M$3:$M$24</c:f>
              <c:numCache>
                <c:formatCode>[$£-809]#,##0.00_);[Red]\([$£-809]#,##0.00\)</c:formatCode>
                <c:ptCount val="22"/>
                <c:pt idx="0">
                  <c:v>-4501906.7807205934</c:v>
                </c:pt>
                <c:pt idx="1">
                  <c:v>-3952670.3016723562</c:v>
                </c:pt>
                <c:pt idx="2">
                  <c:v>-3403433.8226241213</c:v>
                </c:pt>
                <c:pt idx="3">
                  <c:v>-2854197.3435758823</c:v>
                </c:pt>
                <c:pt idx="4">
                  <c:v>-2304960.8645276474</c:v>
                </c:pt>
                <c:pt idx="5">
                  <c:v>-1755724.3854794104</c:v>
                </c:pt>
                <c:pt idx="6">
                  <c:v>-1206487.9064311734</c:v>
                </c:pt>
                <c:pt idx="7">
                  <c:v>-657251.42738293647</c:v>
                </c:pt>
                <c:pt idx="8">
                  <c:v>-108014.9483347002</c:v>
                </c:pt>
                <c:pt idx="9">
                  <c:v>441221.53071353701</c:v>
                </c:pt>
                <c:pt idx="10">
                  <c:v>990458.00976177456</c:v>
                </c:pt>
                <c:pt idx="11">
                  <c:v>1539694.4888100096</c:v>
                </c:pt>
                <c:pt idx="12">
                  <c:v>2088930.9678582472</c:v>
                </c:pt>
                <c:pt idx="13">
                  <c:v>2638167.4469064847</c:v>
                </c:pt>
                <c:pt idx="14">
                  <c:v>3187403.9259547219</c:v>
                </c:pt>
                <c:pt idx="15">
                  <c:v>3736640.4050029572</c:v>
                </c:pt>
                <c:pt idx="16">
                  <c:v>4285876.8840511935</c:v>
                </c:pt>
                <c:pt idx="17">
                  <c:v>4835113.3630994307</c:v>
                </c:pt>
                <c:pt idx="18">
                  <c:v>5384349.842147667</c:v>
                </c:pt>
                <c:pt idx="19">
                  <c:v>5933586.3211959042</c:v>
                </c:pt>
                <c:pt idx="20">
                  <c:v>6482822.8002441414</c:v>
                </c:pt>
                <c:pt idx="21">
                  <c:v>7032059.2792923767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6A-49C7-BA1A-68ADFF65A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452608"/>
        <c:axId val="1002453088"/>
      </c:scatterChart>
      <c:valAx>
        <c:axId val="100245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.00_);[Red]\([$£-809]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2453088"/>
        <c:crosses val="autoZero"/>
        <c:crossBetween val="midCat"/>
      </c:valAx>
      <c:valAx>
        <c:axId val="100245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.00_);[Red]\([$£-809]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245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NPV vs CPU of Winter Sports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101544672840972"/>
                  <c:y val="5.04634107943416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'Question 3 + 4'!$T$3:$T$12</c:f>
              <c:numCache>
                <c:formatCode>[$£-809]#,##0.00_);[Red]\([$£-809]#,##0.00\)</c:formatCode>
                <c:ptCount val="10"/>
                <c:pt idx="0">
                  <c:v>-75</c:v>
                </c:pt>
                <c:pt idx="1">
                  <c:v>-100</c:v>
                </c:pt>
                <c:pt idx="2">
                  <c:v>-125</c:v>
                </c:pt>
                <c:pt idx="3">
                  <c:v>-150</c:v>
                </c:pt>
                <c:pt idx="4">
                  <c:v>-175</c:v>
                </c:pt>
                <c:pt idx="5">
                  <c:v>-200</c:v>
                </c:pt>
                <c:pt idx="6">
                  <c:v>-225</c:v>
                </c:pt>
                <c:pt idx="7">
                  <c:v>-250</c:v>
                </c:pt>
                <c:pt idx="8">
                  <c:v>-275</c:v>
                </c:pt>
                <c:pt idx="9">
                  <c:v>-300</c:v>
                </c:pt>
              </c:numCache>
            </c:numRef>
          </c:xVal>
          <c:yVal>
            <c:numRef>
              <c:f>'Question 3 + 4'!$U$3:$U$12</c:f>
              <c:numCache>
                <c:formatCode>[$£-809]#,##0.00_);[Red]\([$£-809]#,##0.00\)</c:formatCode>
                <c:ptCount val="10"/>
                <c:pt idx="0">
                  <c:v>794711.65273188741</c:v>
                </c:pt>
                <c:pt idx="1">
                  <c:v>310723.95936027961</c:v>
                </c:pt>
                <c:pt idx="2">
                  <c:v>-173263.73401132785</c:v>
                </c:pt>
                <c:pt idx="3">
                  <c:v>-657251.42738293647</c:v>
                </c:pt>
                <c:pt idx="4">
                  <c:v>-1141239.1207545439</c:v>
                </c:pt>
                <c:pt idx="5">
                  <c:v>-1625226.814126153</c:v>
                </c:pt>
                <c:pt idx="6">
                  <c:v>-2109214.5074977595</c:v>
                </c:pt>
                <c:pt idx="7">
                  <c:v>-2593202.2008693665</c:v>
                </c:pt>
                <c:pt idx="8">
                  <c:v>-3077189.8942409763</c:v>
                </c:pt>
                <c:pt idx="9">
                  <c:v>-3561177.5876125838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8E-42F6-90FC-3E4854452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764159"/>
        <c:axId val="1544761279"/>
      </c:scatterChart>
      <c:valAx>
        <c:axId val="154476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.00_);[Red]\([$£-809]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44761279"/>
        <c:crosses val="autoZero"/>
        <c:crossBetween val="midCat"/>
      </c:valAx>
      <c:valAx>
        <c:axId val="15447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.00_);[Red]\([$£-809]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44764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907941185876542"/>
          <c:y val="2.26145480277799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NPV vs CPU of Water Sports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'Question 3 + 4'!$AB$3:$AB$24</c:f>
              <c:numCache>
                <c:formatCode>[$£-809]#,##0.00_);[Red]\([$£-809]#,##0.00\)</c:formatCode>
                <c:ptCount val="22"/>
                <c:pt idx="0">
                  <c:v>-140</c:v>
                </c:pt>
                <c:pt idx="1">
                  <c:v>-160</c:v>
                </c:pt>
                <c:pt idx="2">
                  <c:v>-180</c:v>
                </c:pt>
                <c:pt idx="3">
                  <c:v>-200</c:v>
                </c:pt>
                <c:pt idx="4">
                  <c:v>-220</c:v>
                </c:pt>
                <c:pt idx="5">
                  <c:v>-240</c:v>
                </c:pt>
                <c:pt idx="6">
                  <c:v>-260</c:v>
                </c:pt>
                <c:pt idx="7">
                  <c:v>-280</c:v>
                </c:pt>
                <c:pt idx="8">
                  <c:v>-300</c:v>
                </c:pt>
                <c:pt idx="9">
                  <c:v>-320</c:v>
                </c:pt>
                <c:pt idx="10">
                  <c:v>-340</c:v>
                </c:pt>
                <c:pt idx="11">
                  <c:v>-360</c:v>
                </c:pt>
                <c:pt idx="12">
                  <c:v>-380</c:v>
                </c:pt>
                <c:pt idx="13">
                  <c:v>-400</c:v>
                </c:pt>
                <c:pt idx="14">
                  <c:v>-420</c:v>
                </c:pt>
                <c:pt idx="15">
                  <c:v>-440</c:v>
                </c:pt>
                <c:pt idx="16">
                  <c:v>-460</c:v>
                </c:pt>
                <c:pt idx="17">
                  <c:v>-480</c:v>
                </c:pt>
                <c:pt idx="18">
                  <c:v>-500</c:v>
                </c:pt>
                <c:pt idx="19">
                  <c:v>-520</c:v>
                </c:pt>
                <c:pt idx="20">
                  <c:v>-540</c:v>
                </c:pt>
                <c:pt idx="21">
                  <c:v>-560</c:v>
                </c:pt>
              </c:numCache>
            </c:numRef>
          </c:xVal>
          <c:yVal>
            <c:numRef>
              <c:f>'Question 3 + 4'!$AC$3:$AC$24</c:f>
              <c:numCache>
                <c:formatCode>[$£-809]#,##0.00_);[Red]\([$£-809]#,##0.00\)</c:formatCode>
                <c:ptCount val="22"/>
                <c:pt idx="0">
                  <c:v>2225513.1851295759</c:v>
                </c:pt>
                <c:pt idx="1">
                  <c:v>1813689.6690563601</c:v>
                </c:pt>
                <c:pt idx="2">
                  <c:v>1401866.1529831446</c:v>
                </c:pt>
                <c:pt idx="3">
                  <c:v>990042.63690992841</c:v>
                </c:pt>
                <c:pt idx="4">
                  <c:v>578219.12083671289</c:v>
                </c:pt>
                <c:pt idx="5">
                  <c:v>166395.60476349713</c:v>
                </c:pt>
                <c:pt idx="6">
                  <c:v>-245427.91130971955</c:v>
                </c:pt>
                <c:pt idx="7">
                  <c:v>-657251.42738293647</c:v>
                </c:pt>
                <c:pt idx="8">
                  <c:v>-1069074.9434561518</c:v>
                </c:pt>
                <c:pt idx="9">
                  <c:v>-1480898.4595293675</c:v>
                </c:pt>
                <c:pt idx="10">
                  <c:v>-1892721.9756025844</c:v>
                </c:pt>
                <c:pt idx="11">
                  <c:v>-2304545.4916757988</c:v>
                </c:pt>
                <c:pt idx="12">
                  <c:v>-2716369.0077490173</c:v>
                </c:pt>
                <c:pt idx="13">
                  <c:v>-3128192.5238222321</c:v>
                </c:pt>
                <c:pt idx="14">
                  <c:v>-3540016.0398954479</c:v>
                </c:pt>
                <c:pt idx="15">
                  <c:v>-3951839.5559686641</c:v>
                </c:pt>
                <c:pt idx="16">
                  <c:v>-4363663.0720418803</c:v>
                </c:pt>
                <c:pt idx="17">
                  <c:v>-4775486.5881150952</c:v>
                </c:pt>
                <c:pt idx="18">
                  <c:v>-5187310.10418831</c:v>
                </c:pt>
                <c:pt idx="19">
                  <c:v>-5599133.6202615285</c:v>
                </c:pt>
                <c:pt idx="20">
                  <c:v>-6010957.1363347461</c:v>
                </c:pt>
                <c:pt idx="21">
                  <c:v>-6422780.652407961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59-4782-82B8-31A63C615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06048"/>
        <c:axId val="83506528"/>
      </c:scatterChart>
      <c:valAx>
        <c:axId val="8350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.00_);[Red]\([$£-809]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506528"/>
        <c:crosses val="autoZero"/>
        <c:crossBetween val="midCat"/>
      </c:valAx>
      <c:valAx>
        <c:axId val="8350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.00_);[Red]\([$£-809]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506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3878502257661219"/>
          <c:y val="3.02704096143833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NPV-Admin and General Expenses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'Question 3 + 4'!$AI$3:$AI$18</c:f>
              <c:numCache>
                <c:formatCode>[$£-809]#,##0.00_);[Red]\([$£-809]#,##0.00\)</c:formatCode>
                <c:ptCount val="16"/>
                <c:pt idx="0">
                  <c:v>-250000</c:v>
                </c:pt>
                <c:pt idx="1">
                  <c:v>-300000</c:v>
                </c:pt>
                <c:pt idx="2">
                  <c:v>-350000</c:v>
                </c:pt>
                <c:pt idx="3">
                  <c:v>-400000</c:v>
                </c:pt>
                <c:pt idx="4">
                  <c:v>-450000</c:v>
                </c:pt>
                <c:pt idx="5">
                  <c:v>-500000</c:v>
                </c:pt>
                <c:pt idx="6">
                  <c:v>-550000</c:v>
                </c:pt>
                <c:pt idx="7">
                  <c:v>-600000</c:v>
                </c:pt>
                <c:pt idx="8">
                  <c:v>-650000</c:v>
                </c:pt>
                <c:pt idx="9">
                  <c:v>-700000</c:v>
                </c:pt>
                <c:pt idx="10">
                  <c:v>-750000</c:v>
                </c:pt>
                <c:pt idx="11">
                  <c:v>-800000</c:v>
                </c:pt>
                <c:pt idx="12">
                  <c:v>-850000</c:v>
                </c:pt>
                <c:pt idx="13">
                  <c:v>-900000</c:v>
                </c:pt>
                <c:pt idx="14">
                  <c:v>-950000</c:v>
                </c:pt>
                <c:pt idx="15">
                  <c:v>-1000000</c:v>
                </c:pt>
              </c:numCache>
            </c:numRef>
          </c:xVal>
          <c:yVal>
            <c:numRef>
              <c:f>'Question 3 + 4'!$AJ$3:$AJ$18</c:f>
              <c:numCache>
                <c:formatCode>[$£-809]#,##0.00_);[Red]\([$£-809]#,##0.00\)</c:formatCode>
                <c:ptCount val="16"/>
                <c:pt idx="0">
                  <c:v>31514.03647962492</c:v>
                </c:pt>
                <c:pt idx="1">
                  <c:v>-106239.05629288754</c:v>
                </c:pt>
                <c:pt idx="2">
                  <c:v>-243992.14906539931</c:v>
                </c:pt>
                <c:pt idx="3">
                  <c:v>-381745.24183791201</c:v>
                </c:pt>
                <c:pt idx="4">
                  <c:v>-519498.33461042424</c:v>
                </c:pt>
                <c:pt idx="5">
                  <c:v>-657251.42738293647</c:v>
                </c:pt>
                <c:pt idx="6">
                  <c:v>-795004.52015544823</c:v>
                </c:pt>
                <c:pt idx="7">
                  <c:v>-932757.61292796093</c:v>
                </c:pt>
                <c:pt idx="8">
                  <c:v>-1070510.7057004727</c:v>
                </c:pt>
                <c:pt idx="9">
                  <c:v>-1208263.7984729859</c:v>
                </c:pt>
                <c:pt idx="10">
                  <c:v>-1346016.8912454976</c:v>
                </c:pt>
                <c:pt idx="11">
                  <c:v>-1483769.9840180103</c:v>
                </c:pt>
                <c:pt idx="12">
                  <c:v>-1621523.0767905221</c:v>
                </c:pt>
                <c:pt idx="13">
                  <c:v>-1759276.1695630334</c:v>
                </c:pt>
                <c:pt idx="14">
                  <c:v>-1897029.2623355465</c:v>
                </c:pt>
                <c:pt idx="15">
                  <c:v>-2034782.3551080588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4A-4D59-AB33-C92541F97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80208"/>
        <c:axId val="1481676848"/>
      </c:scatterChart>
      <c:valAx>
        <c:axId val="148168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.00_);[Red]\([$£-809]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81676848"/>
        <c:crosses val="autoZero"/>
        <c:crossBetween val="midCat"/>
      </c:valAx>
      <c:valAx>
        <c:axId val="148167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.00_);[Red]\([$£-809]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81680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1531191</xdr:colOff>
      <xdr:row>17</xdr:row>
      <xdr:rowOff>28667</xdr:rowOff>
    </xdr:from>
    <xdr:to>
      <xdr:col>3</xdr:col>
      <xdr:colOff>1985819</xdr:colOff>
      <xdr:row>38</xdr:row>
      <xdr:rowOff>33430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130AB2-543F-2FAD-0C9C-953590B1F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476250</xdr:colOff>
      <xdr:row>25</xdr:row>
      <xdr:rowOff>57150</xdr:rowOff>
    </xdr:from>
    <xdr:to>
      <xdr:col>16</xdr:col>
      <xdr:colOff>595313</xdr:colOff>
      <xdr:row>46</xdr:row>
      <xdr:rowOff>61913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505CF9-AB36-4699-A360-73B45CD56F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1038225</xdr:colOff>
      <xdr:row>24</xdr:row>
      <xdr:rowOff>90486</xdr:rowOff>
    </xdr:from>
    <xdr:to>
      <xdr:col>25</xdr:col>
      <xdr:colOff>66675</xdr:colOff>
      <xdr:row>51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86AB16-FE55-0B9F-ABA8-80569B78A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400050</xdr:colOff>
      <xdr:row>24</xdr:row>
      <xdr:rowOff>147636</xdr:rowOff>
    </xdr:from>
    <xdr:to>
      <xdr:col>33</xdr:col>
      <xdr:colOff>581025</xdr:colOff>
      <xdr:row>51</xdr:row>
      <xdr:rowOff>152399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11B496-7EF9-202F-2688-C631880B4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1331770</xdr:colOff>
      <xdr:row>29</xdr:row>
      <xdr:rowOff>73168</xdr:rowOff>
    </xdr:from>
    <xdr:to>
      <xdr:col>39</xdr:col>
      <xdr:colOff>135660</xdr:colOff>
      <xdr:row>51</xdr:row>
      <xdr:rowOff>194829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9DECF6E-E801-4F78-9152-7D87BDB4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4B2D-6FEF-415D-A42C-91E009FEBF80}">
  <dimension ref="A1:C18"/>
  <sheetViews>
    <sheetView tabSelected="1" workbookViewId="0">
      <selection activeCell="H17" sqref="H17"/>
    </sheetView>
  </sheetViews>
  <sheetFormatPr defaultRowHeight="17" x14ac:dyDescent="0.45"/>
  <cols>
    <col min="1" max="1" width="37.83203125" bestFit="1" customWidth="1"/>
    <col min="2" max="2" width="9.83203125" bestFit="1" customWidth="1"/>
  </cols>
  <sheetData>
    <row r="1" spans="1:3" x14ac:dyDescent="0.45">
      <c r="A1" t="s">
        <v>9</v>
      </c>
      <c r="B1">
        <v>0.04</v>
      </c>
    </row>
    <row r="2" spans="1:3" x14ac:dyDescent="0.45">
      <c r="A2" t="s">
        <v>10</v>
      </c>
      <c r="B2">
        <v>0.3</v>
      </c>
    </row>
    <row r="3" spans="1:3" x14ac:dyDescent="0.45">
      <c r="A3" t="s">
        <v>11</v>
      </c>
      <c r="B3">
        <v>0.08</v>
      </c>
    </row>
    <row r="4" spans="1:3" x14ac:dyDescent="0.45">
      <c r="A4" t="s">
        <v>26</v>
      </c>
      <c r="B4">
        <v>0.125</v>
      </c>
    </row>
    <row r="5" spans="1:3" x14ac:dyDescent="0.45">
      <c r="A5" t="s">
        <v>27</v>
      </c>
      <c r="B5">
        <v>0.04</v>
      </c>
    </row>
    <row r="6" spans="1:3" x14ac:dyDescent="0.45">
      <c r="A6" t="s">
        <v>30</v>
      </c>
      <c r="B6" s="3">
        <v>2500</v>
      </c>
    </row>
    <row r="9" spans="1:3" x14ac:dyDescent="0.45">
      <c r="A9" t="s">
        <v>48</v>
      </c>
    </row>
    <row r="10" spans="1:3" x14ac:dyDescent="0.45">
      <c r="A10" t="s">
        <v>49</v>
      </c>
      <c r="B10">
        <v>0.1</v>
      </c>
      <c r="C10" t="s">
        <v>51</v>
      </c>
    </row>
    <row r="11" spans="1:3" x14ac:dyDescent="0.45">
      <c r="A11" t="s">
        <v>50</v>
      </c>
      <c r="B11">
        <v>0.2</v>
      </c>
      <c r="C11" t="s">
        <v>52</v>
      </c>
    </row>
    <row r="12" spans="1:3" x14ac:dyDescent="0.45">
      <c r="A12" t="s">
        <v>53</v>
      </c>
      <c r="B12">
        <v>0.05</v>
      </c>
      <c r="C12" t="s">
        <v>51</v>
      </c>
    </row>
    <row r="14" spans="1:3" x14ac:dyDescent="0.45">
      <c r="A14" t="s">
        <v>56</v>
      </c>
      <c r="B14">
        <v>1.5</v>
      </c>
    </row>
    <row r="15" spans="1:3" x14ac:dyDescent="0.45">
      <c r="A15" t="s">
        <v>57</v>
      </c>
      <c r="B15">
        <v>0.5</v>
      </c>
    </row>
    <row r="17" spans="1:2" x14ac:dyDescent="0.45">
      <c r="A17" t="s">
        <v>55</v>
      </c>
      <c r="B17">
        <f>B14/(1+(1-B2)*0.5)</f>
        <v>1.1111111111111109</v>
      </c>
    </row>
    <row r="18" spans="1:2" x14ac:dyDescent="0.45">
      <c r="A18" t="s">
        <v>58</v>
      </c>
      <c r="B18">
        <f>B5+(B17*B3)</f>
        <v>0.12888888888888889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A027-977D-4EF9-B40F-CAB8848D57F4}">
  <dimension ref="A1:D7"/>
  <sheetViews>
    <sheetView workbookViewId="0">
      <selection activeCell="F17" sqref="F17"/>
    </sheetView>
  </sheetViews>
  <sheetFormatPr defaultRowHeight="17" x14ac:dyDescent="0.45"/>
  <cols>
    <col min="1" max="1" width="28.25" bestFit="1" customWidth="1"/>
    <col min="2" max="3" width="11" bestFit="1" customWidth="1"/>
    <col min="4" max="4" width="12.08203125" bestFit="1" customWidth="1"/>
  </cols>
  <sheetData>
    <row r="1" spans="1:4" x14ac:dyDescent="0.45">
      <c r="B1" t="s">
        <v>0</v>
      </c>
      <c r="C1" t="s">
        <v>1</v>
      </c>
      <c r="D1" t="s">
        <v>12</v>
      </c>
    </row>
    <row r="2" spans="1:4" x14ac:dyDescent="0.45">
      <c r="A2" t="s">
        <v>13</v>
      </c>
      <c r="B2" s="3">
        <v>280</v>
      </c>
      <c r="C2" s="3">
        <v>150</v>
      </c>
      <c r="D2" s="3"/>
    </row>
    <row r="3" spans="1:4" x14ac:dyDescent="0.45">
      <c r="A3" t="s">
        <v>14</v>
      </c>
      <c r="B3" s="3"/>
      <c r="C3" s="3"/>
      <c r="D3" s="3">
        <v>500000</v>
      </c>
    </row>
    <row r="4" spans="1:4" x14ac:dyDescent="0.45">
      <c r="A4" t="s">
        <v>15</v>
      </c>
      <c r="B4" s="3"/>
      <c r="C4" s="3"/>
      <c r="D4" s="3">
        <v>250000</v>
      </c>
    </row>
    <row r="5" spans="1:4" x14ac:dyDescent="0.45">
      <c r="A5" t="s">
        <v>16</v>
      </c>
      <c r="B5" s="3"/>
      <c r="C5" s="3"/>
      <c r="D5" s="3">
        <v>750000</v>
      </c>
    </row>
    <row r="6" spans="1:4" x14ac:dyDescent="0.45">
      <c r="A6" t="s">
        <v>17</v>
      </c>
      <c r="B6" s="3">
        <v>15000</v>
      </c>
      <c r="C6" s="3">
        <v>50000</v>
      </c>
      <c r="D6" s="3">
        <v>10000</v>
      </c>
    </row>
    <row r="7" spans="1:4" x14ac:dyDescent="0.45">
      <c r="A7" t="s">
        <v>18</v>
      </c>
      <c r="B7" s="3"/>
      <c r="C7" s="3"/>
      <c r="D7" s="3">
        <v>20000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0C41-D989-43BF-9481-7B5254FD59FB}">
  <dimension ref="A1:U45"/>
  <sheetViews>
    <sheetView zoomScale="85" zoomScaleNormal="85" workbookViewId="0">
      <selection activeCell="B22" sqref="B22"/>
    </sheetView>
  </sheetViews>
  <sheetFormatPr defaultRowHeight="17" x14ac:dyDescent="0.45"/>
  <cols>
    <col min="1" max="1" width="42.58203125" bestFit="1" customWidth="1"/>
    <col min="2" max="2" width="15.75" bestFit="1" customWidth="1"/>
    <col min="3" max="7" width="15" bestFit="1" customWidth="1"/>
    <col min="8" max="8" width="13.58203125" bestFit="1" customWidth="1"/>
    <col min="9" max="9" width="12.58203125" bestFit="1" customWidth="1"/>
    <col min="10" max="13" width="14.58203125" bestFit="1" customWidth="1"/>
    <col min="14" max="14" width="15.5" bestFit="1" customWidth="1"/>
    <col min="16" max="21" width="13.83203125" bestFit="1" customWidth="1"/>
    <col min="22" max="22" width="15.5" bestFit="1" customWidth="1"/>
    <col min="23" max="23" width="22.5" bestFit="1" customWidth="1"/>
  </cols>
  <sheetData>
    <row r="1" spans="1:8" ht="38" x14ac:dyDescent="0.45">
      <c r="A1" s="5" t="s">
        <v>33</v>
      </c>
    </row>
    <row r="3" spans="1:8" x14ac:dyDescent="0.45">
      <c r="B3" s="1">
        <v>2025</v>
      </c>
      <c r="C3" s="1">
        <v>2026</v>
      </c>
      <c r="D3" s="1">
        <v>2027</v>
      </c>
      <c r="E3" s="1">
        <v>2028</v>
      </c>
      <c r="F3" s="1">
        <v>2029</v>
      </c>
      <c r="G3" s="1">
        <v>2030</v>
      </c>
      <c r="H3" s="1">
        <v>2031</v>
      </c>
    </row>
    <row r="4" spans="1:8" x14ac:dyDescent="0.45">
      <c r="A4" t="s">
        <v>34</v>
      </c>
      <c r="C4" s="3">
        <f>SUM(Wrangling!C22,Wrangling!J22)</f>
        <v>2892750</v>
      </c>
      <c r="D4" s="3">
        <f>SUM(Wrangling!D22,Wrangling!K22)</f>
        <v>4163040</v>
      </c>
      <c r="E4" s="3">
        <f>SUM(Wrangling!E22,Wrangling!L22)</f>
        <v>5666574.3750000009</v>
      </c>
      <c r="F4" s="3">
        <f>SUM(Wrangling!F22,Wrangling!M22)</f>
        <v>6299361.1406250009</v>
      </c>
      <c r="G4" s="3">
        <f>SUM(Wrangling!G22,Wrangling!N22)</f>
        <v>7003698.7720957045</v>
      </c>
      <c r="H4" s="3"/>
    </row>
    <row r="5" spans="1:8" x14ac:dyDescent="0.45">
      <c r="A5" t="s">
        <v>32</v>
      </c>
      <c r="C5" s="3">
        <f>SUM(Wrangling!C30,Wrangling!J30)</f>
        <v>-2191385</v>
      </c>
      <c r="D5" s="3">
        <f>SUM(Wrangling!D30,Wrangling!K30)</f>
        <v>-3043799.7624999997</v>
      </c>
      <c r="E5" s="3">
        <f>SUM(Wrangling!E30,Wrangling!L30)</f>
        <v>-4005471.0154374992</v>
      </c>
      <c r="F5" s="3">
        <f>SUM(Wrangling!F30,Wrangling!M30)</f>
        <v>-4302860.7035444276</v>
      </c>
      <c r="G5" s="3">
        <f>SUM(Wrangling!G30,Wrangling!N30)</f>
        <v>-4622904.7445551073</v>
      </c>
      <c r="H5" s="3"/>
    </row>
    <row r="6" spans="1:8" x14ac:dyDescent="0.45">
      <c r="A6" s="1" t="s">
        <v>35</v>
      </c>
      <c r="B6" s="7"/>
      <c r="C6" s="8">
        <f>C4+C5</f>
        <v>701365</v>
      </c>
      <c r="D6" s="8">
        <f>D4+D5</f>
        <v>1119240.2375000003</v>
      </c>
      <c r="E6" s="8">
        <f>E4+E5</f>
        <v>1661103.3595625018</v>
      </c>
      <c r="F6" s="8">
        <f>F4+F5</f>
        <v>1996500.4370805733</v>
      </c>
      <c r="G6" s="8">
        <f>G4+G5</f>
        <v>2380794.0275405971</v>
      </c>
    </row>
    <row r="7" spans="1:8" x14ac:dyDescent="0.45">
      <c r="A7" t="s">
        <v>36</v>
      </c>
      <c r="B7" s="3"/>
      <c r="C7" s="3">
        <f>Wrangling!R26+Wrangling!R27+Wrangling!C29+Wrangling!J29+Wrangling!R29</f>
        <v>-858000</v>
      </c>
      <c r="D7" s="3">
        <f>Wrangling!S26+Wrangling!S27+Wrangling!D29+Wrangling!K29+Wrangling!S29</f>
        <v>-892320</v>
      </c>
      <c r="E7" s="3">
        <f>Wrangling!T26+Wrangling!T27+Wrangling!E29+Wrangling!L29+Wrangling!T29</f>
        <v>-928012.79999999993</v>
      </c>
      <c r="F7" s="3">
        <f>Wrangling!U26+Wrangling!U27+Wrangling!F29+Wrangling!M29+Wrangling!U29</f>
        <v>-965133.31200000003</v>
      </c>
      <c r="G7" s="3">
        <f>Wrangling!V26+Wrangling!V27+Wrangling!G29+Wrangling!N29+Wrangling!V29</f>
        <v>-1003738.64448</v>
      </c>
    </row>
    <row r="8" spans="1:8" x14ac:dyDescent="0.45">
      <c r="A8" t="s">
        <v>38</v>
      </c>
      <c r="B8" s="3">
        <f>Wrangling!Q28</f>
        <v>-750000</v>
      </c>
    </row>
    <row r="9" spans="1:8" x14ac:dyDescent="0.45">
      <c r="A9" s="9" t="s">
        <v>39</v>
      </c>
      <c r="B9" s="3">
        <f>Wrangling!Q33+Wrangling!Q31</f>
        <v>0</v>
      </c>
      <c r="C9" s="3">
        <f>Wrangling!R33+Wrangling!R31</f>
        <v>-67500</v>
      </c>
      <c r="D9" s="3">
        <f>Wrangling!S33+Wrangling!S31</f>
        <v>-105000</v>
      </c>
      <c r="E9" s="3">
        <f>Wrangling!T33+Wrangling!T31</f>
        <v>-142500</v>
      </c>
      <c r="F9" s="3">
        <f>Wrangling!U33+Wrangling!U31</f>
        <v>-180000</v>
      </c>
      <c r="G9" s="3">
        <f>Wrangling!V33+Wrangling!V31</f>
        <v>-217500</v>
      </c>
    </row>
    <row r="10" spans="1:8" x14ac:dyDescent="0.45">
      <c r="A10" t="s">
        <v>44</v>
      </c>
      <c r="B10" s="3"/>
      <c r="C10" s="3">
        <f>Wrangling!R36</f>
        <v>-30000</v>
      </c>
      <c r="D10" s="3">
        <f>Wrangling!S36</f>
        <v>-30000</v>
      </c>
      <c r="E10" s="3">
        <f>Wrangling!T36</f>
        <v>-30000</v>
      </c>
      <c r="F10" s="3">
        <f>Wrangling!U36</f>
        <v>-30000</v>
      </c>
      <c r="G10" s="3">
        <f>Wrangling!V36</f>
        <v>-30000</v>
      </c>
    </row>
    <row r="11" spans="1:8" x14ac:dyDescent="0.45">
      <c r="A11" s="1" t="s">
        <v>41</v>
      </c>
      <c r="B11" s="3">
        <f t="shared" ref="B11:G11" si="0">SUM(B6:B10)</f>
        <v>-750000</v>
      </c>
      <c r="C11" s="3">
        <f t="shared" si="0"/>
        <v>-254135</v>
      </c>
      <c r="D11" s="3">
        <f t="shared" si="0"/>
        <v>91920.237500000279</v>
      </c>
      <c r="E11" s="3">
        <f t="shared" si="0"/>
        <v>560590.55956250185</v>
      </c>
      <c r="F11" s="3">
        <f t="shared" si="0"/>
        <v>821367.12508057326</v>
      </c>
      <c r="G11" s="3">
        <f t="shared" si="0"/>
        <v>1129555.3830605971</v>
      </c>
    </row>
    <row r="12" spans="1:8" x14ac:dyDescent="0.45">
      <c r="A12" t="s">
        <v>42</v>
      </c>
      <c r="B12" s="3">
        <f>-(B11)*CONSTANTS!$B$2</f>
        <v>225000</v>
      </c>
      <c r="C12" s="3">
        <f>-(C11)*CONSTANTS!$B$2</f>
        <v>76240.5</v>
      </c>
      <c r="D12" s="3">
        <f>-(D11)*CONSTANTS!$B$2</f>
        <v>-27576.071250000085</v>
      </c>
      <c r="E12" s="3">
        <f>-(E11)*CONSTANTS!$B$2</f>
        <v>-168177.16786875055</v>
      </c>
      <c r="F12" s="3">
        <f>-(F11)*CONSTANTS!$B$2</f>
        <v>-246410.13752417197</v>
      </c>
      <c r="G12" s="3">
        <f>-(G11)*CONSTANTS!$B$2</f>
        <v>-338866.61491817911</v>
      </c>
    </row>
    <row r="13" spans="1:8" x14ac:dyDescent="0.45">
      <c r="A13" s="1" t="s">
        <v>43</v>
      </c>
      <c r="B13" s="3">
        <f t="shared" ref="B13:G13" si="1">SUM(B11:B12)</f>
        <v>-525000</v>
      </c>
      <c r="C13" s="3">
        <f t="shared" si="1"/>
        <v>-177894.5</v>
      </c>
      <c r="D13" s="3">
        <f t="shared" si="1"/>
        <v>64344.166250000198</v>
      </c>
      <c r="E13" s="3">
        <f t="shared" si="1"/>
        <v>392413.39169375133</v>
      </c>
      <c r="F13" s="3">
        <f t="shared" si="1"/>
        <v>574956.98755640129</v>
      </c>
      <c r="G13" s="3">
        <f t="shared" si="1"/>
        <v>790688.768142418</v>
      </c>
      <c r="H13" s="3"/>
    </row>
    <row r="14" spans="1:8" ht="38" x14ac:dyDescent="0.45">
      <c r="A14" s="5" t="s">
        <v>45</v>
      </c>
    </row>
    <row r="15" spans="1:8" x14ac:dyDescent="0.45">
      <c r="A15" t="s">
        <v>39</v>
      </c>
      <c r="B15" s="3">
        <f t="shared" ref="B15:G15" si="2">B9*(-1)</f>
        <v>0</v>
      </c>
      <c r="C15" s="3">
        <f t="shared" si="2"/>
        <v>67500</v>
      </c>
      <c r="D15" s="3">
        <f t="shared" si="2"/>
        <v>105000</v>
      </c>
      <c r="E15" s="3">
        <f t="shared" si="2"/>
        <v>142500</v>
      </c>
      <c r="F15" s="3">
        <f t="shared" si="2"/>
        <v>180000</v>
      </c>
      <c r="G15" s="3">
        <f t="shared" si="2"/>
        <v>217500</v>
      </c>
      <c r="H15" s="3"/>
    </row>
    <row r="16" spans="1:8" x14ac:dyDescent="0.45">
      <c r="A16" s="6" t="s">
        <v>23</v>
      </c>
      <c r="B16" s="3">
        <f>Wrangling!Q32+Wrangling!Q35</f>
        <v>-1050000</v>
      </c>
      <c r="C16" s="3">
        <f>Wrangling!R32+Wrangling!R35</f>
        <v>-300000</v>
      </c>
      <c r="D16" s="3">
        <f>Wrangling!S32+Wrangling!S35</f>
        <v>-300000</v>
      </c>
      <c r="E16" s="3">
        <f>Wrangling!T32+Wrangling!T35</f>
        <v>-300000</v>
      </c>
      <c r="F16" s="3">
        <f>Wrangling!U32+Wrangling!U35</f>
        <v>-300000</v>
      </c>
      <c r="G16" s="3">
        <f>Wrangling!V32+Wrangling!V35</f>
        <v>-300000</v>
      </c>
      <c r="H16" s="3"/>
    </row>
    <row r="17" spans="1:9" x14ac:dyDescent="0.45">
      <c r="A17" s="6" t="s">
        <v>46</v>
      </c>
      <c r="B17" s="3">
        <v>0</v>
      </c>
      <c r="C17" s="3">
        <f>(Wrangling!C39+Wrangling!J39)</f>
        <v>688119.25</v>
      </c>
      <c r="D17" s="3">
        <f>(Wrangling!D39+Wrangling!K39)</f>
        <v>296678.73812500003</v>
      </c>
      <c r="E17" s="3">
        <f>(Wrangling!E39+Wrangling!L39)</f>
        <v>348790.43764687516</v>
      </c>
      <c r="F17" s="3">
        <f>(Wrangling!F39+Wrangling!M39)</f>
        <v>141426.83753034641</v>
      </c>
      <c r="G17" s="3">
        <f>(Wrangling!G39+Wrangling!N39)</f>
        <v>156869.72834467463</v>
      </c>
      <c r="H17" s="3"/>
    </row>
    <row r="18" spans="1:9" x14ac:dyDescent="0.45">
      <c r="A18" s="6" t="s">
        <v>62</v>
      </c>
      <c r="B18" s="3"/>
      <c r="C18" s="3"/>
      <c r="D18" s="3"/>
      <c r="E18" s="3"/>
      <c r="F18" s="3"/>
      <c r="G18" s="3"/>
      <c r="H18" s="3">
        <f>Wrangling!W38</f>
        <v>3749384.9916468961</v>
      </c>
    </row>
    <row r="19" spans="1:9" x14ac:dyDescent="0.45">
      <c r="A19" s="1" t="s">
        <v>45</v>
      </c>
      <c r="B19" s="3">
        <f>SUM(B13,B15:B18)</f>
        <v>-1575000</v>
      </c>
      <c r="C19" s="3">
        <f>C13+C15+C16-C17</f>
        <v>-1098513.75</v>
      </c>
      <c r="D19" s="3">
        <f>D13+D15+D16-D17</f>
        <v>-427334.57187499985</v>
      </c>
      <c r="E19" s="3">
        <f>E13+E15+E16-E17</f>
        <v>-113877.04595312383</v>
      </c>
      <c r="F19" s="3">
        <f>F13+F15+F16-F17</f>
        <v>313530.15002605488</v>
      </c>
      <c r="G19" s="3">
        <f>G13+G15+G16-G17</f>
        <v>551319.03979774332</v>
      </c>
      <c r="H19" s="3">
        <f>SUM(H13,H15:H18)</f>
        <v>3749384.9916468961</v>
      </c>
    </row>
    <row r="20" spans="1:9" ht="38" x14ac:dyDescent="0.45">
      <c r="A20" s="5" t="s">
        <v>54</v>
      </c>
      <c r="B20" t="s">
        <v>59</v>
      </c>
      <c r="C20" s="23">
        <f>CONSTANTS!B18</f>
        <v>0.12888888888888889</v>
      </c>
    </row>
    <row r="21" spans="1:9" x14ac:dyDescent="0.45">
      <c r="A21" s="6" t="s">
        <v>60</v>
      </c>
      <c r="B21" s="3">
        <f t="shared" ref="B21:H21" si="3">B19/((1+$C$20)^(B3-2025))</f>
        <v>-1575000</v>
      </c>
      <c r="C21" s="3">
        <f t="shared" si="3"/>
        <v>-973092.88877952762</v>
      </c>
      <c r="D21" s="3">
        <f t="shared" si="3"/>
        <v>-335324.76751769899</v>
      </c>
      <c r="E21" s="3">
        <f t="shared" si="3"/>
        <v>-79155.77351499947</v>
      </c>
      <c r="F21" s="3">
        <f t="shared" si="3"/>
        <v>193052.09379573085</v>
      </c>
      <c r="G21" s="3">
        <f t="shared" si="3"/>
        <v>300709.39615497657</v>
      </c>
      <c r="H21" s="3">
        <f t="shared" si="3"/>
        <v>1811560.5124785823</v>
      </c>
    </row>
    <row r="22" spans="1:9" x14ac:dyDescent="0.45">
      <c r="A22" s="1" t="s">
        <v>61</v>
      </c>
      <c r="B22" s="3">
        <f>SUM(B21:H21)</f>
        <v>-657251.42738293647</v>
      </c>
    </row>
    <row r="23" spans="1:9" ht="38" x14ac:dyDescent="0.45">
      <c r="A23" s="5" t="s">
        <v>65</v>
      </c>
      <c r="B23" s="21">
        <f>IRR(B19:H19)</f>
        <v>7.429861105566693E-2</v>
      </c>
    </row>
    <row r="24" spans="1:9" ht="38" x14ac:dyDescent="0.45">
      <c r="A24" s="5" t="s">
        <v>66</v>
      </c>
    </row>
    <row r="25" spans="1:9" x14ac:dyDescent="0.45">
      <c r="A25" s="6" t="s">
        <v>67</v>
      </c>
      <c r="B25" s="3">
        <f>B19</f>
        <v>-1575000</v>
      </c>
      <c r="C25" s="3">
        <f>SUM(B19:C19)</f>
        <v>-2673513.75</v>
      </c>
      <c r="D25" s="3">
        <f>SUM(B19:D19)</f>
        <v>-3100848.3218749999</v>
      </c>
      <c r="E25" s="3">
        <f>SUM(B19:E19)</f>
        <v>-3214725.3678281237</v>
      </c>
      <c r="F25" s="3">
        <f>SUM(B19:F19)</f>
        <v>-2901195.2178020687</v>
      </c>
      <c r="G25" s="3">
        <f>SUM(B19:G19)</f>
        <v>-2349876.1780043254</v>
      </c>
      <c r="H25" s="3">
        <f>SUM(B19:H19)</f>
        <v>1399508.8136425707</v>
      </c>
    </row>
    <row r="26" spans="1:9" x14ac:dyDescent="0.45">
      <c r="H26">
        <f>ABS(G25/H19)</f>
        <v>0.62673643363898879</v>
      </c>
    </row>
    <row r="27" spans="1:9" x14ac:dyDescent="0.45">
      <c r="G27" t="s">
        <v>68</v>
      </c>
      <c r="H27" s="2">
        <f>5+H26</f>
        <v>5.6267364336389889</v>
      </c>
      <c r="I27" t="s">
        <v>69</v>
      </c>
    </row>
    <row r="45" spans="9:21" x14ac:dyDescent="0.45">
      <c r="I45" s="1"/>
      <c r="J45" s="1"/>
      <c r="K45" s="1"/>
      <c r="L45" s="1"/>
      <c r="M45" s="1"/>
      <c r="N45" s="1"/>
      <c r="P45" s="1"/>
      <c r="Q45" s="1"/>
      <c r="R45" s="1"/>
      <c r="S45" s="1"/>
      <c r="T45" s="1"/>
      <c r="U45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BABF9-9477-45FF-98A2-56C1FCB8CEF4}">
  <dimension ref="F1:I7"/>
  <sheetViews>
    <sheetView topLeftCell="C1" workbookViewId="0">
      <selection activeCell="H14" sqref="H14"/>
    </sheetView>
  </sheetViews>
  <sheetFormatPr defaultRowHeight="17" x14ac:dyDescent="0.45"/>
  <cols>
    <col min="1" max="1" width="17.25" bestFit="1" customWidth="1"/>
    <col min="2" max="2" width="12.75" bestFit="1" customWidth="1"/>
    <col min="6" max="6" width="21" bestFit="1" customWidth="1"/>
    <col min="7" max="7" width="12.83203125" bestFit="1" customWidth="1"/>
    <col min="8" max="9" width="38.33203125" bestFit="1" customWidth="1"/>
    <col min="10" max="10" width="12.58203125" bestFit="1" customWidth="1"/>
    <col min="11" max="11" width="13.58203125" bestFit="1" customWidth="1"/>
  </cols>
  <sheetData>
    <row r="1" spans="6:9" x14ac:dyDescent="0.45">
      <c r="F1" s="11" t="s">
        <v>72</v>
      </c>
      <c r="G1" s="12"/>
      <c r="H1" s="13" t="s">
        <v>73</v>
      </c>
    </row>
    <row r="2" spans="6:9" x14ac:dyDescent="0.45">
      <c r="F2" s="1" t="s">
        <v>76</v>
      </c>
      <c r="G2" s="14">
        <f>I7-SUM(G3:G6)</f>
        <v>864849.1898237979</v>
      </c>
      <c r="H2" s="1" t="s">
        <v>53</v>
      </c>
      <c r="I2" s="14">
        <f>SUM(Wrangling!G43,Wrangling!N43)</f>
        <v>231145.23722775537</v>
      </c>
    </row>
    <row r="3" spans="6:9" x14ac:dyDescent="0.45">
      <c r="F3" s="1" t="s">
        <v>49</v>
      </c>
      <c r="G3" s="14">
        <f>SUM(Wrangling!G41,Wrangling!N41)</f>
        <v>462290.47445551073</v>
      </c>
      <c r="H3" s="6" t="s">
        <v>70</v>
      </c>
      <c r="I3" s="14">
        <f>SUM('Question 1'!B13:G13)</f>
        <v>1119508.8136425707</v>
      </c>
    </row>
    <row r="4" spans="6:9" x14ac:dyDescent="0.45">
      <c r="F4" s="10" t="s">
        <v>50</v>
      </c>
      <c r="G4" s="14">
        <f>SUM(Wrangling!G42,Wrangling!N42)</f>
        <v>1400739.754419141</v>
      </c>
      <c r="H4" s="6" t="s">
        <v>71</v>
      </c>
      <c r="I4" s="14">
        <f>ABS('Question 1'!E25)</f>
        <v>3214725.3678281237</v>
      </c>
    </row>
    <row r="5" spans="6:9" x14ac:dyDescent="0.45">
      <c r="F5" s="1" t="s">
        <v>74</v>
      </c>
      <c r="G5" s="14">
        <f>ABS(Wrangling!Q35-SUM(Wrangling!R31:V31))</f>
        <v>600000</v>
      </c>
      <c r="H5" s="1" t="s">
        <v>77</v>
      </c>
      <c r="I5" s="14">
        <f>SUM(I3:I4)</f>
        <v>4334234.181470694</v>
      </c>
    </row>
    <row r="6" spans="6:9" x14ac:dyDescent="0.45">
      <c r="F6" s="1" t="s">
        <v>75</v>
      </c>
      <c r="G6" s="14">
        <f>ABS(SUM(Wrangling!Q32:V32)-SUM(Wrangling!R33:V33))</f>
        <v>1237500</v>
      </c>
      <c r="I6" s="14"/>
    </row>
    <row r="7" spans="6:9" x14ac:dyDescent="0.45">
      <c r="F7" s="1" t="s">
        <v>79</v>
      </c>
      <c r="G7" s="14">
        <f>SUM(G2:G6)</f>
        <v>4565379.4186984496</v>
      </c>
      <c r="H7" s="1" t="s">
        <v>78</v>
      </c>
      <c r="I7" s="14">
        <f>SUM(I5,I2)</f>
        <v>4565379.4186984496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7A80-91DB-4608-9779-622C92B58E8F}">
  <dimension ref="A1:AJ66"/>
  <sheetViews>
    <sheetView zoomScale="55" zoomScaleNormal="55" workbookViewId="0">
      <selection activeCell="E63" sqref="E63"/>
    </sheetView>
  </sheetViews>
  <sheetFormatPr defaultRowHeight="17" x14ac:dyDescent="0.45"/>
  <cols>
    <col min="1" max="1" width="64" bestFit="1" customWidth="1"/>
    <col min="2" max="2" width="42.5" bestFit="1" customWidth="1"/>
    <col min="3" max="3" width="30.1640625" bestFit="1" customWidth="1"/>
    <col min="4" max="4" width="30.75" bestFit="1" customWidth="1"/>
    <col min="5" max="5" width="33.58203125" bestFit="1" customWidth="1"/>
    <col min="6" max="6" width="34.1640625" bestFit="1" customWidth="1"/>
    <col min="7" max="7" width="32.9140625" bestFit="1" customWidth="1"/>
    <col min="8" max="8" width="34.33203125" bestFit="1" customWidth="1"/>
    <col min="9" max="9" width="19.5" bestFit="1" customWidth="1"/>
    <col min="11" max="11" width="45.58203125" customWidth="1"/>
    <col min="12" max="12" width="12.5" bestFit="1" customWidth="1"/>
    <col min="13" max="13" width="14.25" bestFit="1" customWidth="1"/>
    <col min="19" max="19" width="35" customWidth="1"/>
    <col min="20" max="20" width="12.75" bestFit="1" customWidth="1"/>
    <col min="21" max="21" width="14.25" bestFit="1" customWidth="1"/>
    <col min="27" max="27" width="31.83203125" customWidth="1"/>
    <col min="28" max="28" width="12.75" bestFit="1" customWidth="1"/>
    <col min="29" max="29" width="14.25" bestFit="1" customWidth="1"/>
    <col min="34" max="34" width="50.33203125" customWidth="1"/>
    <col min="35" max="36" width="14.25" bestFit="1" customWidth="1"/>
  </cols>
  <sheetData>
    <row r="1" spans="1:36" ht="38" x14ac:dyDescent="0.45">
      <c r="A1" s="15" t="s">
        <v>84</v>
      </c>
    </row>
    <row r="2" spans="1:36" ht="38" x14ac:dyDescent="0.45">
      <c r="A2" s="5" t="s">
        <v>80</v>
      </c>
      <c r="C2" s="16">
        <f>'Question 1'!$B$22</f>
        <v>-657251.42738293647</v>
      </c>
      <c r="K2" s="5" t="s">
        <v>81</v>
      </c>
      <c r="M2" s="3">
        <f>'Question 1'!$B$22</f>
        <v>-657251.42738293647</v>
      </c>
      <c r="S2" s="5" t="s">
        <v>82</v>
      </c>
      <c r="U2" s="3">
        <f>'Question 1'!$B$22</f>
        <v>-657251.42738293647</v>
      </c>
      <c r="AA2" s="5" t="s">
        <v>83</v>
      </c>
      <c r="AC2" s="3">
        <f>'Question 1'!$B$22</f>
        <v>-657251.42738293647</v>
      </c>
      <c r="AH2" s="5" t="s">
        <v>14</v>
      </c>
      <c r="AJ2" s="3">
        <f>'Question 1'!$B$22</f>
        <v>-657251.42738293647</v>
      </c>
    </row>
    <row r="3" spans="1:36" x14ac:dyDescent="0.45">
      <c r="B3" s="3">
        <v>100</v>
      </c>
      <c r="C3" s="3">
        <f t="dataTable" ref="C3:C15" dt2D="0" dtr="0" r1="A53" ca="1"/>
        <v>-2726557.3324665586</v>
      </c>
      <c r="D3" s="3"/>
      <c r="E3" s="3"/>
      <c r="F3" s="3"/>
      <c r="G3" s="3"/>
      <c r="H3" s="3"/>
      <c r="I3" s="3"/>
      <c r="J3" s="3"/>
      <c r="L3" s="3">
        <v>175</v>
      </c>
      <c r="M3" s="3">
        <f t="dataTable" ref="M3:M24" dt2D="0" dtr="0" r1="A52"/>
        <v>-4501906.7807205934</v>
      </c>
      <c r="T3" s="3">
        <v>-75</v>
      </c>
      <c r="U3" s="3">
        <f t="dataTable" ref="U3:U12" dt2D="0" dtr="0" r1="A55" ca="1"/>
        <v>794711.65273188741</v>
      </c>
      <c r="AB3" s="3">
        <v>-140</v>
      </c>
      <c r="AC3" s="3">
        <f t="dataTable" ref="AC3:AC24" dt2D="0" dtr="0" r1="A54" ca="1"/>
        <v>2225513.1851295759</v>
      </c>
      <c r="AI3" s="3">
        <v>-250000</v>
      </c>
      <c r="AJ3" s="3">
        <f t="dataTable" ref="AJ3:AJ18" dt2D="0" dtr="0" r1="A56" ca="1"/>
        <v>31514.03647962492</v>
      </c>
    </row>
    <row r="4" spans="1:36" x14ac:dyDescent="0.45">
      <c r="B4" s="3">
        <v>125</v>
      </c>
      <c r="C4" s="3">
        <v>-2209230.8561956533</v>
      </c>
      <c r="D4" s="3"/>
      <c r="E4" s="3"/>
      <c r="F4" s="3"/>
      <c r="G4" s="3"/>
      <c r="H4" s="3"/>
      <c r="I4" s="3"/>
      <c r="J4" s="3"/>
      <c r="L4" s="3">
        <v>200</v>
      </c>
      <c r="M4" s="3">
        <v>-3952670.3016723562</v>
      </c>
      <c r="T4" s="3">
        <v>-100</v>
      </c>
      <c r="U4" s="3">
        <v>310723.95936027961</v>
      </c>
      <c r="AB4" s="3">
        <v>-160</v>
      </c>
      <c r="AC4" s="3">
        <v>1813689.6690563601</v>
      </c>
      <c r="AI4" s="3">
        <v>-300000</v>
      </c>
      <c r="AJ4" s="3">
        <v>-106239.05629288754</v>
      </c>
    </row>
    <row r="5" spans="1:36" x14ac:dyDescent="0.45">
      <c r="B5" s="3">
        <v>150</v>
      </c>
      <c r="C5" s="3">
        <v>-1691904.3799247474</v>
      </c>
      <c r="D5" s="3"/>
      <c r="E5" s="3"/>
      <c r="F5" s="3"/>
      <c r="G5" s="3"/>
      <c r="H5" s="3"/>
      <c r="I5" s="3"/>
      <c r="J5" s="3"/>
      <c r="L5" s="3">
        <v>225</v>
      </c>
      <c r="M5" s="3">
        <v>-3403433.8226241213</v>
      </c>
      <c r="T5" s="3">
        <v>-125</v>
      </c>
      <c r="U5" s="3">
        <v>-173263.73401132785</v>
      </c>
      <c r="AB5" s="3">
        <v>-180</v>
      </c>
      <c r="AC5" s="3">
        <v>1401866.1529831446</v>
      </c>
      <c r="AI5" s="3">
        <v>-350000</v>
      </c>
      <c r="AJ5" s="3">
        <v>-243992.14906539931</v>
      </c>
    </row>
    <row r="6" spans="1:36" x14ac:dyDescent="0.45">
      <c r="B6" s="3">
        <v>175</v>
      </c>
      <c r="C6" s="3">
        <v>-1174577.9036538419</v>
      </c>
      <c r="D6" s="3"/>
      <c r="E6" s="3"/>
      <c r="F6" s="3"/>
      <c r="G6" s="3"/>
      <c r="H6" s="3"/>
      <c r="I6" s="3"/>
      <c r="J6" s="3"/>
      <c r="L6" s="3">
        <v>250</v>
      </c>
      <c r="M6" s="3">
        <v>-2854197.3435758823</v>
      </c>
      <c r="T6" s="4">
        <v>-150</v>
      </c>
      <c r="U6" s="3">
        <v>-657251.42738293647</v>
      </c>
      <c r="AB6" s="3">
        <v>-200</v>
      </c>
      <c r="AC6" s="3">
        <v>990042.63690992841</v>
      </c>
      <c r="AI6" s="3">
        <v>-400000</v>
      </c>
      <c r="AJ6" s="3">
        <v>-381745.24183791201</v>
      </c>
    </row>
    <row r="7" spans="1:36" x14ac:dyDescent="0.45">
      <c r="B7" s="4">
        <v>200</v>
      </c>
      <c r="C7" s="3">
        <v>-657251.42738293647</v>
      </c>
      <c r="D7" s="3"/>
      <c r="E7" s="3"/>
      <c r="F7" s="3"/>
      <c r="G7" s="3"/>
      <c r="H7" s="3"/>
      <c r="I7" s="3"/>
      <c r="J7" s="3"/>
      <c r="L7" s="3">
        <v>275</v>
      </c>
      <c r="M7" s="3">
        <v>-2304960.8645276474</v>
      </c>
      <c r="T7" s="3">
        <v>-175</v>
      </c>
      <c r="U7" s="3">
        <v>-1141239.1207545439</v>
      </c>
      <c r="AB7" s="3">
        <v>-220</v>
      </c>
      <c r="AC7" s="3">
        <v>578219.12083671289</v>
      </c>
      <c r="AI7" s="3">
        <v>-450000</v>
      </c>
      <c r="AJ7" s="3">
        <v>-519498.33461042424</v>
      </c>
    </row>
    <row r="8" spans="1:36" x14ac:dyDescent="0.45">
      <c r="B8" s="3">
        <v>225</v>
      </c>
      <c r="C8" s="3">
        <v>-139924.95111203054</v>
      </c>
      <c r="D8" s="3"/>
      <c r="E8" s="3"/>
      <c r="F8" s="3"/>
      <c r="G8" s="3"/>
      <c r="H8" s="3"/>
      <c r="I8" s="3"/>
      <c r="J8" s="3"/>
      <c r="L8" s="3">
        <v>300</v>
      </c>
      <c r="M8" s="3">
        <v>-1755724.3854794104</v>
      </c>
      <c r="T8" s="3">
        <v>-200</v>
      </c>
      <c r="U8" s="3">
        <v>-1625226.814126153</v>
      </c>
      <c r="AB8" s="3">
        <v>-240</v>
      </c>
      <c r="AC8" s="3">
        <v>166395.60476349713</v>
      </c>
      <c r="AI8" s="4">
        <v>-500000</v>
      </c>
      <c r="AJ8" s="3">
        <v>-657251.42738293647</v>
      </c>
    </row>
    <row r="9" spans="1:36" x14ac:dyDescent="0.45">
      <c r="B9" s="3">
        <v>250</v>
      </c>
      <c r="C9" s="3">
        <v>377401.52515887422</v>
      </c>
      <c r="D9" s="3"/>
      <c r="E9" s="3"/>
      <c r="F9" s="3"/>
      <c r="G9" s="3"/>
      <c r="H9" s="3"/>
      <c r="I9" s="3"/>
      <c r="J9" s="3"/>
      <c r="L9" s="3">
        <v>325</v>
      </c>
      <c r="M9" s="3">
        <v>-1206487.9064311734</v>
      </c>
      <c r="T9" s="3">
        <v>-225</v>
      </c>
      <c r="U9" s="3">
        <v>-2109214.5074977595</v>
      </c>
      <c r="AB9" s="3">
        <v>-260</v>
      </c>
      <c r="AC9" s="3">
        <v>-245427.91130971955</v>
      </c>
      <c r="AI9" s="3">
        <v>-550000</v>
      </c>
      <c r="AJ9" s="3">
        <v>-795004.52015544823</v>
      </c>
    </row>
    <row r="10" spans="1:36" x14ac:dyDescent="0.45">
      <c r="B10" s="3">
        <v>275</v>
      </c>
      <c r="C10" s="3">
        <v>894728.00142977969</v>
      </c>
      <c r="D10" s="3"/>
      <c r="E10" s="3"/>
      <c r="F10" s="3"/>
      <c r="G10" s="3"/>
      <c r="H10" s="3"/>
      <c r="I10" s="3"/>
      <c r="J10" s="3"/>
      <c r="L10" s="4">
        <v>350</v>
      </c>
      <c r="M10" s="3">
        <v>-657251.42738293647</v>
      </c>
      <c r="T10" s="3">
        <v>-250</v>
      </c>
      <c r="U10" s="3">
        <v>-2593202.2008693665</v>
      </c>
      <c r="AB10" s="4">
        <v>-280</v>
      </c>
      <c r="AC10" s="3">
        <v>-657251.42738293647</v>
      </c>
      <c r="AI10" s="3">
        <v>-600000</v>
      </c>
      <c r="AJ10" s="3">
        <v>-932757.61292796093</v>
      </c>
    </row>
    <row r="11" spans="1:36" x14ac:dyDescent="0.45">
      <c r="B11" s="3">
        <v>300</v>
      </c>
      <c r="C11" s="3">
        <v>1412054.4777006852</v>
      </c>
      <c r="D11" s="3"/>
      <c r="E11" s="3"/>
      <c r="F11" s="3"/>
      <c r="G11" s="3"/>
      <c r="H11" s="3"/>
      <c r="I11" s="3"/>
      <c r="J11" s="3"/>
      <c r="L11" s="3">
        <v>375</v>
      </c>
      <c r="M11" s="3">
        <v>-108014.9483347002</v>
      </c>
      <c r="T11" s="3">
        <v>-275</v>
      </c>
      <c r="U11" s="3">
        <v>-3077189.8942409763</v>
      </c>
      <c r="AB11" s="3">
        <v>-300</v>
      </c>
      <c r="AC11" s="3">
        <v>-1069074.9434561518</v>
      </c>
      <c r="AI11" s="3">
        <v>-650000</v>
      </c>
      <c r="AJ11" s="3">
        <v>-1070510.7057004727</v>
      </c>
    </row>
    <row r="12" spans="1:36" x14ac:dyDescent="0.45">
      <c r="B12" s="3">
        <v>325</v>
      </c>
      <c r="C12" s="3">
        <v>1929380.9539715918</v>
      </c>
      <c r="D12" s="3"/>
      <c r="E12" s="3"/>
      <c r="F12" s="3"/>
      <c r="G12" s="3"/>
      <c r="H12" s="3"/>
      <c r="I12" s="3"/>
      <c r="J12" s="3"/>
      <c r="L12" s="3">
        <v>400</v>
      </c>
      <c r="M12" s="3">
        <v>441221.53071353701</v>
      </c>
      <c r="T12" s="3">
        <v>-300</v>
      </c>
      <c r="U12" s="3">
        <v>-3561177.5876125838</v>
      </c>
      <c r="AB12" s="3">
        <v>-320</v>
      </c>
      <c r="AC12" s="3">
        <v>-1480898.4595293675</v>
      </c>
      <c r="AI12" s="3">
        <v>-700000</v>
      </c>
      <c r="AJ12" s="3">
        <v>-1208263.7984729859</v>
      </c>
    </row>
    <row r="13" spans="1:36" x14ac:dyDescent="0.45">
      <c r="B13" s="3">
        <v>350</v>
      </c>
      <c r="C13" s="3">
        <v>2446707.430242497</v>
      </c>
      <c r="D13" s="3"/>
      <c r="E13" s="3"/>
      <c r="F13" s="3"/>
      <c r="G13" s="3"/>
      <c r="H13" s="3"/>
      <c r="I13" s="3"/>
      <c r="J13" s="3"/>
      <c r="L13" s="3">
        <v>425</v>
      </c>
      <c r="M13" s="3">
        <v>990458.00976177456</v>
      </c>
      <c r="AB13" s="3">
        <v>-340</v>
      </c>
      <c r="AC13" s="3">
        <v>-1892721.9756025844</v>
      </c>
      <c r="AI13" s="3">
        <v>-750000</v>
      </c>
      <c r="AJ13" s="3">
        <v>-1346016.8912454976</v>
      </c>
    </row>
    <row r="14" spans="1:36" x14ac:dyDescent="0.45">
      <c r="B14" s="3">
        <v>375</v>
      </c>
      <c r="C14" s="3">
        <v>2964033.9065134018</v>
      </c>
      <c r="D14" s="3"/>
      <c r="E14" s="3"/>
      <c r="F14" s="3"/>
      <c r="G14" s="3"/>
      <c r="H14" s="3"/>
      <c r="I14" s="3"/>
      <c r="J14" s="3"/>
      <c r="L14" s="3">
        <v>450</v>
      </c>
      <c r="M14" s="3">
        <v>1539694.4888100096</v>
      </c>
      <c r="AB14" s="3">
        <v>-360</v>
      </c>
      <c r="AC14" s="3">
        <v>-2304545.4916757988</v>
      </c>
      <c r="AI14" s="3">
        <v>-800000</v>
      </c>
      <c r="AJ14" s="3">
        <v>-1483769.9840180103</v>
      </c>
    </row>
    <row r="15" spans="1:36" x14ac:dyDescent="0.45">
      <c r="B15" s="3">
        <v>400</v>
      </c>
      <c r="C15" s="3">
        <v>3481360.3827843079</v>
      </c>
      <c r="D15" s="3"/>
      <c r="E15" s="3"/>
      <c r="F15" s="3"/>
      <c r="G15" s="3"/>
      <c r="H15" s="3"/>
      <c r="I15" s="3"/>
      <c r="J15" s="3"/>
      <c r="L15" s="3">
        <v>475</v>
      </c>
      <c r="M15" s="3">
        <v>2088930.9678582472</v>
      </c>
      <c r="AB15" s="3">
        <v>-380</v>
      </c>
      <c r="AC15" s="3">
        <v>-2716369.0077490173</v>
      </c>
      <c r="AI15" s="3">
        <v>-850000</v>
      </c>
      <c r="AJ15" s="3">
        <v>-1621523.0767905221</v>
      </c>
    </row>
    <row r="16" spans="1:36" x14ac:dyDescent="0.45">
      <c r="A16" s="3"/>
      <c r="B16" s="3"/>
      <c r="C16" s="3"/>
      <c r="D16" s="3"/>
      <c r="E16" s="3"/>
      <c r="F16" s="3"/>
      <c r="G16" s="3"/>
      <c r="H16" s="3"/>
      <c r="I16" s="3"/>
      <c r="J16" s="3"/>
      <c r="L16" s="3">
        <v>500</v>
      </c>
      <c r="M16" s="3">
        <v>2638167.4469064847</v>
      </c>
      <c r="AB16" s="3">
        <v>-400</v>
      </c>
      <c r="AC16" s="3">
        <v>-3128192.5238222321</v>
      </c>
      <c r="AI16" s="3">
        <v>-900000</v>
      </c>
      <c r="AJ16" s="3">
        <v>-1759276.1695630334</v>
      </c>
    </row>
    <row r="17" spans="1:36" x14ac:dyDescent="0.45">
      <c r="A17" s="3"/>
      <c r="B17" s="3"/>
      <c r="C17" s="3"/>
      <c r="D17" s="3"/>
      <c r="E17" s="3"/>
      <c r="F17" s="3"/>
      <c r="G17" s="3"/>
      <c r="H17" s="3"/>
      <c r="I17" s="3"/>
      <c r="J17" s="3"/>
      <c r="L17" s="3">
        <v>525</v>
      </c>
      <c r="M17" s="3">
        <v>3187403.9259547219</v>
      </c>
      <c r="AB17" s="3">
        <v>-420</v>
      </c>
      <c r="AC17" s="3">
        <v>-3540016.0398954479</v>
      </c>
      <c r="AI17" s="3">
        <v>-950000</v>
      </c>
      <c r="AJ17" s="3">
        <v>-1897029.2623355465</v>
      </c>
    </row>
    <row r="18" spans="1:36" x14ac:dyDescent="0.45">
      <c r="A18" s="3"/>
      <c r="B18" s="3"/>
      <c r="C18" s="3"/>
      <c r="D18" s="3"/>
      <c r="E18" s="3"/>
      <c r="F18" s="3"/>
      <c r="G18" s="3"/>
      <c r="H18" s="3"/>
      <c r="I18" s="3"/>
      <c r="J18" s="3"/>
      <c r="L18" s="3">
        <v>550</v>
      </c>
      <c r="M18" s="3">
        <v>3736640.4050029572</v>
      </c>
      <c r="AB18" s="3">
        <v>-440</v>
      </c>
      <c r="AC18" s="3">
        <v>-3951839.5559686641</v>
      </c>
      <c r="AI18" s="3">
        <v>-1000000</v>
      </c>
      <c r="AJ18" s="3">
        <v>-2034782.3551080588</v>
      </c>
    </row>
    <row r="19" spans="1:36" x14ac:dyDescent="0.45">
      <c r="A19" s="3"/>
      <c r="B19" s="3"/>
      <c r="C19" s="3"/>
      <c r="D19" s="3"/>
      <c r="E19" s="3"/>
      <c r="F19" s="3"/>
      <c r="G19" s="3"/>
      <c r="H19" s="3"/>
      <c r="I19" s="3"/>
      <c r="J19" s="3"/>
      <c r="L19" s="3">
        <v>575</v>
      </c>
      <c r="M19" s="3">
        <v>4285876.8840511935</v>
      </c>
      <c r="AB19" s="3">
        <v>-460</v>
      </c>
      <c r="AC19" s="3">
        <v>-4363663.0720418803</v>
      </c>
    </row>
    <row r="20" spans="1:36" x14ac:dyDescent="0.45">
      <c r="A20" s="3"/>
      <c r="B20" s="3"/>
      <c r="C20" s="3"/>
      <c r="D20" s="3"/>
      <c r="E20" s="3"/>
      <c r="F20" s="3"/>
      <c r="G20" s="3"/>
      <c r="H20" s="3"/>
      <c r="I20" s="3"/>
      <c r="J20" s="3"/>
      <c r="L20" s="3">
        <v>600</v>
      </c>
      <c r="M20" s="3">
        <v>4835113.3630994307</v>
      </c>
      <c r="AB20" s="3">
        <v>-480</v>
      </c>
      <c r="AC20" s="3">
        <v>-4775486.5881150952</v>
      </c>
    </row>
    <row r="21" spans="1:36" x14ac:dyDescent="0.45">
      <c r="A21" s="3"/>
      <c r="B21" s="3"/>
      <c r="C21" s="3"/>
      <c r="D21" s="3"/>
      <c r="E21" s="3"/>
      <c r="F21" s="3"/>
      <c r="G21" s="3"/>
      <c r="H21" s="3"/>
      <c r="I21" s="3"/>
      <c r="J21" s="3"/>
      <c r="L21" s="3">
        <v>625</v>
      </c>
      <c r="M21" s="3">
        <v>5384349.842147667</v>
      </c>
      <c r="AB21" s="3">
        <v>-500</v>
      </c>
      <c r="AC21" s="3">
        <v>-5187310.10418831</v>
      </c>
    </row>
    <row r="22" spans="1:36" x14ac:dyDescent="0.45">
      <c r="A22" s="3"/>
      <c r="B22" s="3"/>
      <c r="C22" s="3"/>
      <c r="D22" s="3"/>
      <c r="E22" s="3"/>
      <c r="F22" s="3"/>
      <c r="G22" s="3"/>
      <c r="H22" s="3"/>
      <c r="I22" s="3"/>
      <c r="J22" s="3"/>
      <c r="L22" s="3">
        <v>650</v>
      </c>
      <c r="M22" s="3">
        <v>5933586.3211959042</v>
      </c>
      <c r="AB22" s="3">
        <v>-520</v>
      </c>
      <c r="AC22" s="3">
        <v>-5599133.6202615285</v>
      </c>
    </row>
    <row r="23" spans="1:36" x14ac:dyDescent="0.45">
      <c r="A23" s="3"/>
      <c r="B23" s="3"/>
      <c r="C23" s="3"/>
      <c r="D23" s="3"/>
      <c r="E23" s="3"/>
      <c r="F23" s="3"/>
      <c r="G23" s="3"/>
      <c r="H23" s="3"/>
      <c r="I23" s="3"/>
      <c r="J23" s="3"/>
      <c r="L23" s="3">
        <v>675</v>
      </c>
      <c r="M23" s="3">
        <v>6482822.8002441414</v>
      </c>
      <c r="AB23" s="3">
        <v>-540</v>
      </c>
      <c r="AC23" s="3">
        <v>-6010957.1363347461</v>
      </c>
    </row>
    <row r="24" spans="1:36" x14ac:dyDescent="0.45">
      <c r="A24" s="3"/>
      <c r="B24" s="3"/>
      <c r="C24" s="3"/>
      <c r="D24" s="3"/>
      <c r="E24" s="3"/>
      <c r="F24" s="3"/>
      <c r="G24" s="3"/>
      <c r="H24" s="3"/>
      <c r="I24" s="3"/>
      <c r="J24" s="3"/>
      <c r="L24" s="3">
        <v>700</v>
      </c>
      <c r="M24" s="3">
        <v>7032059.2792923767</v>
      </c>
      <c r="AB24" s="3">
        <v>-560</v>
      </c>
      <c r="AC24" s="3">
        <v>-6422780.652407961</v>
      </c>
    </row>
    <row r="50" spans="1:5" ht="38" x14ac:dyDescent="0.45">
      <c r="A50" s="15" t="s">
        <v>85</v>
      </c>
      <c r="B50" s="5" t="s">
        <v>96</v>
      </c>
      <c r="C50" s="5" t="s">
        <v>91</v>
      </c>
      <c r="D50" s="5" t="s">
        <v>92</v>
      </c>
      <c r="E50" s="5" t="s">
        <v>95</v>
      </c>
    </row>
    <row r="51" spans="1:5" x14ac:dyDescent="0.45">
      <c r="A51" t="s">
        <v>97</v>
      </c>
      <c r="B51" s="1">
        <v>3</v>
      </c>
      <c r="D51" s="16"/>
    </row>
    <row r="52" spans="1:5" x14ac:dyDescent="0.45">
      <c r="A52" s="3">
        <f>CHOOSE($B$51,C52,D52,E52)</f>
        <v>350</v>
      </c>
      <c r="B52" t="s">
        <v>86</v>
      </c>
      <c r="C52" s="17">
        <v>340</v>
      </c>
      <c r="D52" s="17">
        <v>365</v>
      </c>
      <c r="E52" s="17">
        <v>350</v>
      </c>
    </row>
    <row r="53" spans="1:5" x14ac:dyDescent="0.45">
      <c r="A53" s="3">
        <f t="shared" ref="A53:A59" si="0">CHOOSE($B$51,C53,D53,E53)</f>
        <v>200</v>
      </c>
      <c r="B53" t="s">
        <v>87</v>
      </c>
      <c r="C53" s="17">
        <v>245</v>
      </c>
      <c r="D53" s="17">
        <v>275</v>
      </c>
      <c r="E53" s="17">
        <v>200</v>
      </c>
    </row>
    <row r="54" spans="1:5" x14ac:dyDescent="0.45">
      <c r="A54" s="3">
        <f t="shared" si="0"/>
        <v>-280</v>
      </c>
      <c r="B54" t="s">
        <v>88</v>
      </c>
      <c r="C54" s="17">
        <v>-295</v>
      </c>
      <c r="D54" s="17">
        <v>-275</v>
      </c>
      <c r="E54" s="17">
        <v>-280</v>
      </c>
    </row>
    <row r="55" spans="1:5" x14ac:dyDescent="0.45">
      <c r="A55" s="3">
        <f t="shared" si="0"/>
        <v>-150</v>
      </c>
      <c r="B55" t="s">
        <v>89</v>
      </c>
      <c r="C55" s="17">
        <v>-165</v>
      </c>
      <c r="D55" s="17">
        <v>-145</v>
      </c>
      <c r="E55" s="17">
        <v>-150</v>
      </c>
    </row>
    <row r="56" spans="1:5" x14ac:dyDescent="0.45">
      <c r="A56" s="3">
        <f t="shared" si="0"/>
        <v>-500000</v>
      </c>
      <c r="B56" t="s">
        <v>90</v>
      </c>
      <c r="C56" s="17">
        <v>-600000</v>
      </c>
      <c r="D56" s="17">
        <v>-500000</v>
      </c>
      <c r="E56" s="17">
        <v>-500000</v>
      </c>
    </row>
    <row r="57" spans="1:5" x14ac:dyDescent="0.45">
      <c r="A57">
        <f t="shared" si="0"/>
        <v>7.4999999999999997E-2</v>
      </c>
      <c r="B57" t="s">
        <v>93</v>
      </c>
      <c r="C57">
        <v>7.4999999999999997E-2</v>
      </c>
      <c r="D57">
        <v>0.1</v>
      </c>
      <c r="E57">
        <v>7.4999999999999997E-2</v>
      </c>
    </row>
    <row r="58" spans="1:5" x14ac:dyDescent="0.45">
      <c r="A58">
        <f t="shared" si="0"/>
        <v>0.05</v>
      </c>
      <c r="B58" t="s">
        <v>94</v>
      </c>
      <c r="C58">
        <v>0.05</v>
      </c>
      <c r="D58">
        <v>0.1</v>
      </c>
      <c r="E58">
        <v>0.05</v>
      </c>
    </row>
    <row r="59" spans="1:5" x14ac:dyDescent="0.45">
      <c r="A59" s="3">
        <f t="shared" si="0"/>
        <v>-250000</v>
      </c>
      <c r="B59" t="s">
        <v>15</v>
      </c>
      <c r="C59" s="17">
        <v>-250000</v>
      </c>
      <c r="D59" s="17">
        <v>-300000</v>
      </c>
      <c r="E59" s="17">
        <v>-250000</v>
      </c>
    </row>
    <row r="62" spans="1:5" ht="38" x14ac:dyDescent="0.45">
      <c r="A62" s="5" t="s">
        <v>61</v>
      </c>
      <c r="B62" s="18">
        <f>'Question 1'!$B$22</f>
        <v>-657251.42738293647</v>
      </c>
      <c r="C62" s="19">
        <v>-820524.80033750157</v>
      </c>
      <c r="D62" s="19">
        <v>1417306.86</v>
      </c>
      <c r="E62" s="19">
        <v>-657251.42738293647</v>
      </c>
    </row>
    <row r="63" spans="1:5" ht="38" x14ac:dyDescent="0.45">
      <c r="A63" s="5" t="s">
        <v>65</v>
      </c>
      <c r="B63" s="20">
        <f>'Question 1'!B23</f>
        <v>7.429861105566693E-2</v>
      </c>
      <c r="C63" s="21">
        <v>6.2958688474000102E-2</v>
      </c>
      <c r="D63" s="21">
        <v>0.24541022526753919</v>
      </c>
      <c r="E63" s="21">
        <v>7.429861105566693E-2</v>
      </c>
    </row>
    <row r="66" spans="2:2" ht="38" x14ac:dyDescent="0.45">
      <c r="B66" s="5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F00C-D089-4F25-A450-1439C4B86DC5}">
  <dimension ref="A1:W43"/>
  <sheetViews>
    <sheetView zoomScale="62" workbookViewId="0">
      <selection activeCell="J24" sqref="J24"/>
    </sheetView>
  </sheetViews>
  <sheetFormatPr defaultRowHeight="17" x14ac:dyDescent="0.45"/>
  <cols>
    <col min="1" max="1" width="34.75" bestFit="1" customWidth="1"/>
    <col min="2" max="2" width="9.5" bestFit="1" customWidth="1"/>
    <col min="3" max="7" width="15" bestFit="1" customWidth="1"/>
    <col min="8" max="8" width="13.58203125" bestFit="1" customWidth="1"/>
    <col min="9" max="9" width="9.5" bestFit="1" customWidth="1"/>
    <col min="10" max="10" width="13.4140625" bestFit="1" customWidth="1"/>
    <col min="11" max="12" width="15" bestFit="1" customWidth="1"/>
    <col min="13" max="14" width="13.58203125" bestFit="1" customWidth="1"/>
    <col min="16" max="16" width="33.4140625" bestFit="1" customWidth="1"/>
    <col min="17" max="21" width="12.75" bestFit="1" customWidth="1"/>
    <col min="22" max="22" width="13.58203125" bestFit="1" customWidth="1"/>
    <col min="23" max="23" width="13.25" bestFit="1" customWidth="1"/>
  </cols>
  <sheetData>
    <row r="1" spans="1:23" ht="36" x14ac:dyDescent="0.45">
      <c r="A1" s="1" t="s">
        <v>21</v>
      </c>
      <c r="C1" s="1"/>
      <c r="E1" s="22" t="s">
        <v>0</v>
      </c>
      <c r="J1" s="1"/>
      <c r="L1" s="22" t="s">
        <v>1</v>
      </c>
      <c r="T1" s="1" t="s">
        <v>12</v>
      </c>
    </row>
    <row r="2" spans="1:23" x14ac:dyDescent="0.45">
      <c r="A2" t="s">
        <v>22</v>
      </c>
      <c r="B2" s="1">
        <v>2025</v>
      </c>
      <c r="C2" s="1">
        <v>2026</v>
      </c>
      <c r="D2" s="1">
        <v>2027</v>
      </c>
      <c r="E2" s="1">
        <v>2028</v>
      </c>
      <c r="F2" s="1">
        <v>2029</v>
      </c>
      <c r="G2" s="1">
        <v>2030</v>
      </c>
      <c r="H2" s="1">
        <v>2031</v>
      </c>
      <c r="I2" s="1">
        <v>2025</v>
      </c>
      <c r="J2" s="1">
        <v>2026</v>
      </c>
      <c r="K2" s="1">
        <v>2027</v>
      </c>
      <c r="L2" s="1">
        <v>2028</v>
      </c>
      <c r="M2" s="1">
        <v>2029</v>
      </c>
      <c r="N2" s="1">
        <v>2030</v>
      </c>
      <c r="O2" s="1">
        <v>2031</v>
      </c>
      <c r="Q2" s="1">
        <v>2025</v>
      </c>
      <c r="R2" s="1">
        <v>2026</v>
      </c>
      <c r="S2" s="1">
        <v>2027</v>
      </c>
      <c r="T2" s="1">
        <v>2028</v>
      </c>
      <c r="U2" s="1">
        <v>2029</v>
      </c>
      <c r="V2" s="1">
        <v>2030</v>
      </c>
      <c r="W2" s="1">
        <v>2031</v>
      </c>
    </row>
    <row r="3" spans="1:23" x14ac:dyDescent="0.45">
      <c r="A3" s="1" t="s">
        <v>2</v>
      </c>
      <c r="B3" s="3"/>
      <c r="C3">
        <v>200</v>
      </c>
      <c r="D3">
        <v>350</v>
      </c>
      <c r="E3">
        <v>500</v>
      </c>
      <c r="F3">
        <f>E3*(1+'Question 3 + 4'!$A$58)</f>
        <v>525</v>
      </c>
      <c r="G3">
        <f>F3*(1+'Question 3 + 4'!$A$58)</f>
        <v>551.25</v>
      </c>
      <c r="J3">
        <v>700</v>
      </c>
      <c r="K3">
        <v>850</v>
      </c>
      <c r="L3">
        <v>1100</v>
      </c>
      <c r="M3">
        <f>L3*(1+'Question 3 + 4'!$A$57)</f>
        <v>1182.5</v>
      </c>
      <c r="N3">
        <f>M3*(1+'Question 3 + 4'!$A$57)</f>
        <v>1271.1875</v>
      </c>
      <c r="O3" s="3"/>
      <c r="Q3" s="3"/>
      <c r="R3" s="3"/>
      <c r="S3" s="3"/>
      <c r="T3" s="3"/>
      <c r="U3" s="3"/>
      <c r="V3" s="3"/>
    </row>
    <row r="4" spans="1:23" x14ac:dyDescent="0.45">
      <c r="A4" s="1" t="s">
        <v>3</v>
      </c>
      <c r="B4" s="3"/>
      <c r="C4">
        <v>2000</v>
      </c>
      <c r="D4">
        <v>2500</v>
      </c>
      <c r="E4">
        <v>3000</v>
      </c>
      <c r="F4">
        <f>E4*(1+'Question 3 + 4'!$A$58)</f>
        <v>3150</v>
      </c>
      <c r="G4">
        <f>F4*(1+'Question 3 + 4'!$A$58)</f>
        <v>3307.5</v>
      </c>
      <c r="J4">
        <v>1500</v>
      </c>
      <c r="K4">
        <v>3000</v>
      </c>
      <c r="L4">
        <v>3500</v>
      </c>
      <c r="M4">
        <f>L4*(1+'Question 3 + 4'!$A$57)</f>
        <v>3762.5</v>
      </c>
      <c r="N4">
        <f>M4*(1+'Question 3 + 4'!$A$57)</f>
        <v>4044.6875</v>
      </c>
      <c r="O4" s="3"/>
      <c r="Q4" s="3"/>
      <c r="R4" s="3"/>
      <c r="S4" s="3"/>
      <c r="T4" s="3"/>
      <c r="U4" s="3"/>
      <c r="V4" s="3"/>
    </row>
    <row r="5" spans="1:23" x14ac:dyDescent="0.45">
      <c r="A5" s="1" t="s">
        <v>4</v>
      </c>
      <c r="B5" s="3"/>
      <c r="C5">
        <v>1500</v>
      </c>
      <c r="D5">
        <v>2000</v>
      </c>
      <c r="E5">
        <v>2000</v>
      </c>
      <c r="F5">
        <f>E5*(1+'Question 3 + 4'!$A$58)</f>
        <v>2100</v>
      </c>
      <c r="G5">
        <f>F5*(1+'Question 3 + 4'!$A$58)</f>
        <v>2205</v>
      </c>
      <c r="J5">
        <v>1000</v>
      </c>
      <c r="K5">
        <v>1200</v>
      </c>
      <c r="L5">
        <v>1350</v>
      </c>
      <c r="M5">
        <f>L5*(1+'Question 3 + 4'!$A$57)</f>
        <v>1451.25</v>
      </c>
      <c r="N5">
        <f>M5*(1+'Question 3 + 4'!$A$57)</f>
        <v>1560.09375</v>
      </c>
      <c r="O5" s="3"/>
      <c r="Q5" s="3"/>
      <c r="R5" s="3"/>
      <c r="S5" s="3"/>
      <c r="T5" s="3"/>
      <c r="U5" s="3"/>
      <c r="V5" s="3"/>
    </row>
    <row r="6" spans="1:23" x14ac:dyDescent="0.45">
      <c r="A6" s="1" t="s">
        <v>5</v>
      </c>
      <c r="B6" s="3"/>
      <c r="C6">
        <v>1500</v>
      </c>
      <c r="D6">
        <v>2000</v>
      </c>
      <c r="E6">
        <v>3500</v>
      </c>
      <c r="F6">
        <f>E6*(1+'Question 3 + 4'!$A$58)</f>
        <v>3675</v>
      </c>
      <c r="G6">
        <f>F6*(1+'Question 3 + 4'!$A$58)</f>
        <v>3858.75</v>
      </c>
      <c r="J6">
        <v>1250</v>
      </c>
      <c r="K6">
        <v>1500</v>
      </c>
      <c r="L6">
        <v>2500</v>
      </c>
      <c r="M6">
        <f>L6*(1+'Question 3 + 4'!$A$57)</f>
        <v>2687.5</v>
      </c>
      <c r="N6">
        <f>M6*(1+'Question 3 + 4'!$A$57)</f>
        <v>2889.0625</v>
      </c>
      <c r="O6" s="3"/>
      <c r="Q6" s="3"/>
      <c r="R6" s="3"/>
      <c r="S6" s="3"/>
      <c r="T6" s="3"/>
      <c r="U6" s="3"/>
      <c r="V6" s="3"/>
    </row>
    <row r="7" spans="1:23" x14ac:dyDescent="0.45">
      <c r="A7" s="1" t="s">
        <v>6</v>
      </c>
      <c r="B7" s="3"/>
      <c r="C7">
        <v>100</v>
      </c>
      <c r="D7">
        <v>150</v>
      </c>
      <c r="E7">
        <v>100</v>
      </c>
      <c r="F7">
        <f>E7*(1+'Question 3 + 4'!$A$58)</f>
        <v>105</v>
      </c>
      <c r="G7">
        <f>F7*(1+'Question 3 + 4'!$A$58)</f>
        <v>110.25</v>
      </c>
      <c r="J7">
        <v>50</v>
      </c>
      <c r="K7">
        <v>80</v>
      </c>
      <c r="L7">
        <v>100</v>
      </c>
      <c r="M7">
        <f>L7*(1+'Question 3 + 4'!$A$57)</f>
        <v>107.5</v>
      </c>
      <c r="N7">
        <f>M7*(1+'Question 3 + 4'!$A$57)</f>
        <v>115.5625</v>
      </c>
      <c r="O7" s="3"/>
      <c r="Q7" s="3"/>
      <c r="R7" s="3"/>
      <c r="S7" s="3"/>
      <c r="T7" s="3"/>
      <c r="U7" s="3"/>
      <c r="V7" s="3"/>
    </row>
    <row r="8" spans="1:23" x14ac:dyDescent="0.45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Q8" s="3"/>
      <c r="R8" s="3"/>
      <c r="S8" s="3"/>
      <c r="T8" s="3"/>
      <c r="U8" s="3"/>
      <c r="V8" s="3"/>
    </row>
    <row r="9" spans="1:23" x14ac:dyDescent="0.4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Q9" s="3"/>
      <c r="R9" s="3"/>
      <c r="S9" s="3"/>
      <c r="T9" s="3"/>
      <c r="U9" s="3"/>
      <c r="V9" s="3"/>
    </row>
    <row r="10" spans="1:23" x14ac:dyDescent="0.4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Q10" s="3"/>
      <c r="R10" s="3"/>
      <c r="S10" s="3"/>
      <c r="T10" s="3"/>
      <c r="U10" s="3"/>
      <c r="V10" s="3"/>
    </row>
    <row r="11" spans="1:23" x14ac:dyDescent="0.4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Q11" s="3"/>
      <c r="R11" s="3"/>
      <c r="S11" s="3"/>
      <c r="T11" s="3"/>
      <c r="U11" s="3"/>
      <c r="V11" s="3"/>
    </row>
    <row r="12" spans="1:23" x14ac:dyDescent="0.4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Q12" s="4"/>
      <c r="R12" s="3"/>
      <c r="S12" s="3"/>
      <c r="T12" s="3"/>
      <c r="U12" s="3"/>
      <c r="V12" s="3"/>
    </row>
    <row r="13" spans="1:23" x14ac:dyDescent="0.4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Q13" s="3"/>
      <c r="R13" s="3"/>
      <c r="S13" s="3"/>
      <c r="T13" s="3"/>
      <c r="U13" s="3"/>
      <c r="V13" s="3"/>
    </row>
    <row r="14" spans="1:23" x14ac:dyDescent="0.45">
      <c r="A14" s="1" t="s">
        <v>7</v>
      </c>
      <c r="B14" s="3">
        <f>'Question 3 + 4'!A52</f>
        <v>350</v>
      </c>
      <c r="C14" s="3">
        <f>B14*1.05</f>
        <v>367.5</v>
      </c>
      <c r="D14" s="3">
        <f>C14*1.05</f>
        <v>385.875</v>
      </c>
      <c r="E14" s="3">
        <f>D14*1.05</f>
        <v>405.16875000000005</v>
      </c>
      <c r="F14" s="3">
        <f>E14*1.05</f>
        <v>425.42718750000006</v>
      </c>
      <c r="G14" s="3">
        <f>F14*1.05</f>
        <v>446.69854687500009</v>
      </c>
      <c r="H14" s="3"/>
      <c r="I14" s="3">
        <f>'Question 3 + 4'!A53</f>
        <v>200</v>
      </c>
      <c r="J14" s="3">
        <f>I14*1.05</f>
        <v>210</v>
      </c>
      <c r="K14" s="3">
        <f>J14*1.05</f>
        <v>220.5</v>
      </c>
      <c r="L14" s="3">
        <f>K14*1.05</f>
        <v>231.52500000000001</v>
      </c>
      <c r="M14" s="3">
        <f>L14*1.05</f>
        <v>243.10125000000002</v>
      </c>
      <c r="N14" s="3">
        <f>M14*1.05</f>
        <v>255.25631250000004</v>
      </c>
      <c r="O14" s="3"/>
      <c r="Q14" s="3"/>
      <c r="R14" s="3"/>
      <c r="S14" s="3"/>
      <c r="T14" s="3"/>
      <c r="U14" s="3"/>
      <c r="V14" s="3"/>
    </row>
    <row r="15" spans="1:23" x14ac:dyDescent="0.4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Q15" s="3"/>
      <c r="R15" s="3"/>
      <c r="S15" s="3"/>
      <c r="T15" s="3"/>
      <c r="U15" s="3"/>
      <c r="V15" s="3"/>
    </row>
    <row r="16" spans="1:23" x14ac:dyDescent="0.45">
      <c r="A16" s="1" t="s">
        <v>37</v>
      </c>
      <c r="B16" s="3"/>
      <c r="C16" s="4"/>
      <c r="D16" s="4"/>
      <c r="E16" s="4"/>
      <c r="F16" s="4"/>
      <c r="G16" s="4"/>
      <c r="H16" s="3"/>
      <c r="I16" s="4"/>
      <c r="J16" s="4"/>
      <c r="K16" s="4"/>
      <c r="L16" s="4"/>
      <c r="M16" s="4"/>
      <c r="N16" s="4"/>
      <c r="O16" s="3"/>
      <c r="Q16" s="3"/>
      <c r="R16" s="3"/>
      <c r="S16" s="3"/>
      <c r="T16" s="3"/>
      <c r="U16" s="3"/>
      <c r="V16" s="3"/>
    </row>
    <row r="17" spans="1:22" x14ac:dyDescent="0.45">
      <c r="A17" s="1" t="s">
        <v>2</v>
      </c>
      <c r="B17" s="3"/>
      <c r="C17" s="3">
        <f t="shared" ref="C17:G21" si="0">C3*C$14</f>
        <v>73500</v>
      </c>
      <c r="D17" s="3">
        <f t="shared" si="0"/>
        <v>135056.25</v>
      </c>
      <c r="E17" s="3">
        <f t="shared" si="0"/>
        <v>202584.37500000003</v>
      </c>
      <c r="F17" s="3">
        <f t="shared" si="0"/>
        <v>223349.27343750003</v>
      </c>
      <c r="G17" s="3">
        <f t="shared" si="0"/>
        <v>246242.57396484379</v>
      </c>
      <c r="H17" s="2"/>
      <c r="I17" s="2"/>
      <c r="J17" s="3">
        <f t="shared" ref="J17:N21" si="1">J3*J$14</f>
        <v>147000</v>
      </c>
      <c r="K17" s="3">
        <f t="shared" si="1"/>
        <v>187425</v>
      </c>
      <c r="L17" s="3">
        <f t="shared" si="1"/>
        <v>254677.5</v>
      </c>
      <c r="M17" s="3">
        <f t="shared" si="1"/>
        <v>287467.22812500002</v>
      </c>
      <c r="N17" s="3">
        <f t="shared" si="1"/>
        <v>324478.63374609378</v>
      </c>
      <c r="O17" s="3"/>
      <c r="Q17" s="3"/>
      <c r="R17" s="3"/>
      <c r="S17" s="3"/>
      <c r="T17" s="3"/>
      <c r="U17" s="3"/>
      <c r="V17" s="3"/>
    </row>
    <row r="18" spans="1:22" x14ac:dyDescent="0.45">
      <c r="A18" s="1" t="s">
        <v>3</v>
      </c>
      <c r="B18" s="3"/>
      <c r="C18" s="3">
        <f t="shared" si="0"/>
        <v>735000</v>
      </c>
      <c r="D18" s="3">
        <f t="shared" si="0"/>
        <v>964687.5</v>
      </c>
      <c r="E18" s="3">
        <f t="shared" si="0"/>
        <v>1215506.2500000002</v>
      </c>
      <c r="F18" s="3">
        <f t="shared" si="0"/>
        <v>1340095.6406250002</v>
      </c>
      <c r="G18" s="3">
        <f t="shared" si="0"/>
        <v>1477455.4437890628</v>
      </c>
      <c r="H18" s="2"/>
      <c r="I18" s="2"/>
      <c r="J18" s="3">
        <f t="shared" si="1"/>
        <v>315000</v>
      </c>
      <c r="K18" s="3">
        <f t="shared" si="1"/>
        <v>661500</v>
      </c>
      <c r="L18" s="3">
        <f t="shared" si="1"/>
        <v>810337.5</v>
      </c>
      <c r="M18" s="3">
        <f t="shared" si="1"/>
        <v>914668.45312500012</v>
      </c>
      <c r="N18" s="3">
        <f t="shared" si="1"/>
        <v>1032432.0164648439</v>
      </c>
      <c r="O18" s="3"/>
      <c r="Q18" s="3"/>
      <c r="R18" s="3"/>
      <c r="S18" s="3"/>
      <c r="T18" s="3"/>
      <c r="U18" s="3"/>
      <c r="V18" s="3"/>
    </row>
    <row r="19" spans="1:22" x14ac:dyDescent="0.45">
      <c r="A19" s="1" t="s">
        <v>4</v>
      </c>
      <c r="B19" s="3"/>
      <c r="C19" s="3">
        <f t="shared" si="0"/>
        <v>551250</v>
      </c>
      <c r="D19" s="3">
        <f t="shared" si="0"/>
        <v>771750</v>
      </c>
      <c r="E19" s="3">
        <f t="shared" si="0"/>
        <v>810337.50000000012</v>
      </c>
      <c r="F19" s="3">
        <f t="shared" si="0"/>
        <v>893397.09375000012</v>
      </c>
      <c r="G19" s="3">
        <f t="shared" si="0"/>
        <v>984970.29585937515</v>
      </c>
      <c r="H19" s="2"/>
      <c r="I19" s="2"/>
      <c r="J19" s="3">
        <f t="shared" si="1"/>
        <v>210000</v>
      </c>
      <c r="K19" s="3">
        <f t="shared" si="1"/>
        <v>264600</v>
      </c>
      <c r="L19" s="3">
        <f t="shared" si="1"/>
        <v>312558.75</v>
      </c>
      <c r="M19" s="3">
        <f t="shared" si="1"/>
        <v>352800.68906250002</v>
      </c>
      <c r="N19" s="3">
        <f t="shared" si="1"/>
        <v>398223.77777929691</v>
      </c>
      <c r="O19" s="3"/>
      <c r="Q19" s="3"/>
      <c r="R19" s="3"/>
      <c r="S19" s="3"/>
      <c r="T19" s="3"/>
      <c r="U19" s="3"/>
      <c r="V19" s="3"/>
    </row>
    <row r="20" spans="1:22" x14ac:dyDescent="0.45">
      <c r="A20" s="1" t="s">
        <v>5</v>
      </c>
      <c r="B20" s="3"/>
      <c r="C20" s="3">
        <f t="shared" si="0"/>
        <v>551250</v>
      </c>
      <c r="D20" s="3">
        <f t="shared" si="0"/>
        <v>771750</v>
      </c>
      <c r="E20" s="3">
        <f t="shared" si="0"/>
        <v>1418090.6250000002</v>
      </c>
      <c r="F20" s="3">
        <f t="shared" si="0"/>
        <v>1563444.9140625002</v>
      </c>
      <c r="G20" s="3">
        <f t="shared" si="0"/>
        <v>1723698.0177539065</v>
      </c>
      <c r="H20" s="2"/>
      <c r="I20" s="2"/>
      <c r="J20" s="3">
        <f t="shared" si="1"/>
        <v>262500</v>
      </c>
      <c r="K20" s="3">
        <f t="shared" si="1"/>
        <v>330750</v>
      </c>
      <c r="L20" s="3">
        <f t="shared" si="1"/>
        <v>578812.5</v>
      </c>
      <c r="M20" s="3">
        <f t="shared" si="1"/>
        <v>653334.609375</v>
      </c>
      <c r="N20" s="3">
        <f t="shared" si="1"/>
        <v>737451.44033203134</v>
      </c>
      <c r="O20" s="3"/>
      <c r="Q20" s="3"/>
      <c r="R20" s="3"/>
      <c r="S20" s="3"/>
      <c r="T20" s="3"/>
      <c r="U20" s="3"/>
      <c r="V20" s="3"/>
    </row>
    <row r="21" spans="1:22" x14ac:dyDescent="0.45">
      <c r="A21" s="1" t="s">
        <v>6</v>
      </c>
      <c r="B21" s="3"/>
      <c r="C21" s="3">
        <f t="shared" si="0"/>
        <v>36750</v>
      </c>
      <c r="D21" s="3">
        <f t="shared" si="0"/>
        <v>57881.25</v>
      </c>
      <c r="E21" s="3">
        <f t="shared" si="0"/>
        <v>40516.875000000007</v>
      </c>
      <c r="F21" s="3">
        <f t="shared" si="0"/>
        <v>44669.854687500003</v>
      </c>
      <c r="G21" s="3">
        <f t="shared" si="0"/>
        <v>49248.514792968759</v>
      </c>
      <c r="H21" s="2"/>
      <c r="I21" s="2"/>
      <c r="J21" s="3">
        <f t="shared" si="1"/>
        <v>10500</v>
      </c>
      <c r="K21" s="3">
        <f t="shared" si="1"/>
        <v>17640</v>
      </c>
      <c r="L21" s="3">
        <f t="shared" si="1"/>
        <v>23152.5</v>
      </c>
      <c r="M21" s="3">
        <f t="shared" si="1"/>
        <v>26133.384375000001</v>
      </c>
      <c r="N21" s="3">
        <f t="shared" si="1"/>
        <v>29498.057613281253</v>
      </c>
      <c r="O21" s="3"/>
      <c r="Q21" s="3"/>
      <c r="R21" s="3"/>
      <c r="S21" s="3"/>
      <c r="T21" s="3"/>
      <c r="U21" s="3"/>
      <c r="V21" s="3"/>
    </row>
    <row r="22" spans="1:22" x14ac:dyDescent="0.45">
      <c r="A22" s="1" t="s">
        <v>8</v>
      </c>
      <c r="B22" s="3"/>
      <c r="C22" s="3">
        <f>SUM(C17:C21)</f>
        <v>1947750</v>
      </c>
      <c r="D22" s="3">
        <f>SUM(D17:D21)</f>
        <v>2701125</v>
      </c>
      <c r="E22" s="3">
        <f>SUM(E17:E21)</f>
        <v>3687035.6250000009</v>
      </c>
      <c r="F22" s="3">
        <f>SUM(F17:F21)</f>
        <v>4064956.7765625007</v>
      </c>
      <c r="G22" s="3">
        <f>SUM(G17:G21)</f>
        <v>4481614.8461601567</v>
      </c>
      <c r="H22" s="2"/>
      <c r="I22" s="2"/>
      <c r="J22" s="3">
        <f>SUM(J17:J21)</f>
        <v>945000</v>
      </c>
      <c r="K22" s="3">
        <f>SUM(K17:K21)</f>
        <v>1461915</v>
      </c>
      <c r="L22" s="3">
        <f>SUM(L17:L21)</f>
        <v>1979538.75</v>
      </c>
      <c r="M22" s="3">
        <f>SUM(M17:M21)</f>
        <v>2234404.3640625002</v>
      </c>
      <c r="N22" s="3">
        <f>SUM(N17:N21)</f>
        <v>2522083.9259355473</v>
      </c>
      <c r="O22" s="3"/>
      <c r="Q22" s="3"/>
      <c r="R22" s="3"/>
      <c r="S22" s="3"/>
      <c r="T22" s="3"/>
      <c r="U22" s="3"/>
      <c r="V22" s="3"/>
    </row>
    <row r="23" spans="1:22" x14ac:dyDescent="0.4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Q23" s="3"/>
      <c r="R23" s="3"/>
      <c r="S23" s="3"/>
      <c r="T23" s="3"/>
      <c r="U23" s="3"/>
      <c r="V23" s="3"/>
    </row>
    <row r="24" spans="1:22" x14ac:dyDescent="0.45">
      <c r="A24" s="1" t="s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Q24" s="3"/>
      <c r="R24" s="3"/>
      <c r="S24" s="3"/>
      <c r="T24" s="3"/>
      <c r="U24" s="3"/>
      <c r="V24" s="3"/>
    </row>
    <row r="25" spans="1:22" x14ac:dyDescent="0.45">
      <c r="A25" s="1" t="s">
        <v>20</v>
      </c>
      <c r="B25" s="3">
        <f>'Question 3 + 4'!A54</f>
        <v>-280</v>
      </c>
      <c r="C25" s="3">
        <f>B25*1.015</f>
        <v>-284.2</v>
      </c>
      <c r="D25" s="3">
        <f>C25*1.015</f>
        <v>-288.46299999999997</v>
      </c>
      <c r="E25" s="3">
        <f>D25*1.015</f>
        <v>-292.78994499999993</v>
      </c>
      <c r="F25" s="3">
        <f>E25*1.015</f>
        <v>-297.18179417499988</v>
      </c>
      <c r="G25" s="3">
        <f>F25*1.015</f>
        <v>-301.63952108762487</v>
      </c>
      <c r="H25" s="3"/>
      <c r="I25" s="3">
        <f>'Question 3 + 4'!A55</f>
        <v>-150</v>
      </c>
      <c r="J25" s="3">
        <f>I25*1.015</f>
        <v>-152.24999999999997</v>
      </c>
      <c r="K25" s="3">
        <f>J25*1.015</f>
        <v>-154.53374999999997</v>
      </c>
      <c r="L25" s="3">
        <f>K25*1.015</f>
        <v>-156.85175624999997</v>
      </c>
      <c r="M25" s="3">
        <f>L25*1.015</f>
        <v>-159.20453259374995</v>
      </c>
      <c r="N25" s="3">
        <f>M25*1.015</f>
        <v>-161.59260058265619</v>
      </c>
      <c r="O25" s="3"/>
      <c r="Q25" s="3"/>
      <c r="R25" s="3"/>
      <c r="S25" s="3"/>
      <c r="T25" s="3"/>
      <c r="U25" s="3"/>
      <c r="V25" s="3"/>
    </row>
    <row r="26" spans="1:22" x14ac:dyDescent="0.4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1" t="s">
        <v>14</v>
      </c>
      <c r="Q26" s="3">
        <f>'Question 3 + 4'!A56</f>
        <v>-500000</v>
      </c>
      <c r="R26" s="3">
        <f t="shared" ref="R26:V27" si="2">Q26*1.04</f>
        <v>-520000</v>
      </c>
      <c r="S26" s="3">
        <f t="shared" si="2"/>
        <v>-540800</v>
      </c>
      <c r="T26" s="3">
        <f t="shared" si="2"/>
        <v>-562432</v>
      </c>
      <c r="U26" s="3">
        <f t="shared" si="2"/>
        <v>-584929.28000000003</v>
      </c>
      <c r="V26" s="3">
        <f t="shared" si="2"/>
        <v>-608326.45120000001</v>
      </c>
    </row>
    <row r="27" spans="1:22" x14ac:dyDescent="0.4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1" t="s">
        <v>15</v>
      </c>
      <c r="Q27" s="3">
        <f>'Question 3 + 4'!A59</f>
        <v>-250000</v>
      </c>
      <c r="R27" s="3">
        <f t="shared" si="2"/>
        <v>-260000</v>
      </c>
      <c r="S27" s="3">
        <f t="shared" si="2"/>
        <v>-270400</v>
      </c>
      <c r="T27" s="3">
        <f t="shared" si="2"/>
        <v>-281216</v>
      </c>
      <c r="U27" s="3">
        <f t="shared" si="2"/>
        <v>-292464.64000000001</v>
      </c>
      <c r="V27" s="3">
        <f t="shared" si="2"/>
        <v>-304163.22560000001</v>
      </c>
    </row>
    <row r="28" spans="1:22" x14ac:dyDescent="0.4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1" t="s">
        <v>16</v>
      </c>
      <c r="Q28" s="3">
        <v>-750000</v>
      </c>
      <c r="R28" s="3"/>
      <c r="S28" s="3"/>
      <c r="T28" s="3"/>
      <c r="U28" s="3"/>
      <c r="V28" s="3"/>
    </row>
    <row r="29" spans="1:22" x14ac:dyDescent="0.45">
      <c r="A29" s="1" t="s">
        <v>17</v>
      </c>
      <c r="B29" s="3"/>
      <c r="C29" s="3">
        <f>-15000*1.04</f>
        <v>-15600</v>
      </c>
      <c r="D29" s="3">
        <f>C29*1.04</f>
        <v>-16224</v>
      </c>
      <c r="E29" s="3">
        <f>D29*1.04</f>
        <v>-16872.96</v>
      </c>
      <c r="F29" s="3">
        <f>E29*1.04</f>
        <v>-17547.878400000001</v>
      </c>
      <c r="G29" s="3">
        <f>F29*1.04</f>
        <v>-18249.793536000001</v>
      </c>
      <c r="H29" s="3"/>
      <c r="I29" s="3"/>
      <c r="J29" s="3">
        <f>-'2025 Expenses'!$C$6*1.04</f>
        <v>-52000</v>
      </c>
      <c r="K29" s="3">
        <f>J29*1.04</f>
        <v>-54080</v>
      </c>
      <c r="L29" s="3">
        <f>K29*1.04</f>
        <v>-56243.200000000004</v>
      </c>
      <c r="M29" s="3">
        <f>L29*1.04</f>
        <v>-58492.928000000007</v>
      </c>
      <c r="N29" s="3">
        <f>M29*1.04</f>
        <v>-60832.645120000008</v>
      </c>
      <c r="O29" s="3"/>
      <c r="Q29" s="3">
        <v>-10000</v>
      </c>
      <c r="R29" s="3">
        <f>Q29*1.04</f>
        <v>-10400</v>
      </c>
      <c r="S29" s="3">
        <f>R29*1.04</f>
        <v>-10816</v>
      </c>
      <c r="T29" s="3">
        <f>S29*1.04</f>
        <v>-11248.640000000001</v>
      </c>
      <c r="U29" s="3">
        <f>T29*1.04</f>
        <v>-11698.585600000002</v>
      </c>
      <c r="V29" s="3">
        <f>U29*1.04</f>
        <v>-12166.529024000003</v>
      </c>
    </row>
    <row r="30" spans="1:22" x14ac:dyDescent="0.45">
      <c r="A30" s="1" t="s">
        <v>32</v>
      </c>
      <c r="C30" s="3">
        <f>C$25*SUM(C3:C7)</f>
        <v>-1506260</v>
      </c>
      <c r="D30" s="3">
        <f>D$25*SUM(D3:D7)</f>
        <v>-2019240.9999999998</v>
      </c>
      <c r="E30" s="3">
        <f>E$25*SUM(E3:E7)</f>
        <v>-2664388.4994999995</v>
      </c>
      <c r="F30" s="3">
        <f>F$25*SUM(F3:F7)</f>
        <v>-2839572.0433421237</v>
      </c>
      <c r="G30" s="3">
        <f>G$25*SUM(G3:G7)</f>
        <v>-3026273.9051918685</v>
      </c>
      <c r="J30" s="3">
        <f>J$25*SUM(J3:J7)</f>
        <v>-685124.99999999988</v>
      </c>
      <c r="K30" s="3">
        <f>K$25*SUM(K3:K7)</f>
        <v>-1024558.7624999998</v>
      </c>
      <c r="L30" s="3">
        <f>L$25*SUM(L3:L7)</f>
        <v>-1341082.5159374997</v>
      </c>
      <c r="M30" s="3">
        <f>M$25*SUM(M3:M7)</f>
        <v>-1463288.6602023041</v>
      </c>
      <c r="N30" s="3">
        <f>N$25*SUM(N3:N7)</f>
        <v>-1596630.839363239</v>
      </c>
    </row>
    <row r="31" spans="1:22" x14ac:dyDescent="0.45">
      <c r="P31" s="1" t="s">
        <v>40</v>
      </c>
      <c r="R31" s="3">
        <f>$Q$35*CONSTANTS!$B$5</f>
        <v>-30000</v>
      </c>
      <c r="S31" s="3">
        <f>$Q$35*CONSTANTS!$B$5</f>
        <v>-30000</v>
      </c>
      <c r="T31" s="3">
        <f>$Q$35*CONSTANTS!$B$5</f>
        <v>-30000</v>
      </c>
      <c r="U31" s="3">
        <f>$Q$35*CONSTANTS!$B$5</f>
        <v>-30000</v>
      </c>
      <c r="V31" s="3">
        <f>$Q$35*CONSTANTS!$B$5</f>
        <v>-30000</v>
      </c>
    </row>
    <row r="32" spans="1:22" x14ac:dyDescent="0.45">
      <c r="P32" s="1" t="s">
        <v>25</v>
      </c>
      <c r="Q32" s="3">
        <v>-300000</v>
      </c>
      <c r="R32" s="3">
        <v>-300000</v>
      </c>
      <c r="S32" s="3">
        <v>-300000</v>
      </c>
      <c r="T32" s="3">
        <v>-300000</v>
      </c>
      <c r="U32" s="3">
        <v>-300000</v>
      </c>
      <c r="V32" s="3">
        <v>-300000</v>
      </c>
    </row>
    <row r="33" spans="1:23" x14ac:dyDescent="0.45">
      <c r="P33" s="1" t="s">
        <v>28</v>
      </c>
      <c r="R33" s="3">
        <f>$Q$32*CONSTANTS!$B$4</f>
        <v>-37500</v>
      </c>
      <c r="S33" s="3">
        <f>$Q$32*CONSTANTS!$B$4*2</f>
        <v>-75000</v>
      </c>
      <c r="T33" s="3">
        <f>$Q$32*CONSTANTS!$B$4*3</f>
        <v>-112500</v>
      </c>
      <c r="U33" s="3">
        <f>$Q$32*CONSTANTS!$B$4*4</f>
        <v>-150000</v>
      </c>
      <c r="V33" s="3">
        <f>$Q$32*CONSTANTS!$B$4*5</f>
        <v>-187500</v>
      </c>
    </row>
    <row r="34" spans="1:23" x14ac:dyDescent="0.45">
      <c r="P34" s="1" t="s">
        <v>29</v>
      </c>
      <c r="W34" s="3">
        <f>-(SUM(Q32:V32)-SUM(R33:V33))</f>
        <v>1237500</v>
      </c>
    </row>
    <row r="35" spans="1:23" x14ac:dyDescent="0.45">
      <c r="P35" s="1" t="s">
        <v>24</v>
      </c>
      <c r="Q35" s="3">
        <v>-750000</v>
      </c>
      <c r="W35" s="3">
        <v>880000</v>
      </c>
    </row>
    <row r="36" spans="1:23" x14ac:dyDescent="0.45">
      <c r="P36" s="1" t="s">
        <v>31</v>
      </c>
      <c r="R36">
        <f>-CONSTANTS!$B$6*12</f>
        <v>-30000</v>
      </c>
      <c r="S36">
        <f>-CONSTANTS!$B$6*12</f>
        <v>-30000</v>
      </c>
      <c r="T36">
        <f>-CONSTANTS!$B$6*12</f>
        <v>-30000</v>
      </c>
      <c r="U36">
        <f>-CONSTANTS!$B$6*12</f>
        <v>-30000</v>
      </c>
      <c r="V36">
        <f>-CONSTANTS!$B$6*12</f>
        <v>-30000</v>
      </c>
    </row>
    <row r="37" spans="1:23" x14ac:dyDescent="0.45">
      <c r="A37" s="1" t="s">
        <v>47</v>
      </c>
      <c r="B37" s="3">
        <f>ABS(Wrangling!B30*CONSTANTS!$B$10)+ABS(CONSTANTS!$B$11*Wrangling!B22)-ABS(Wrangling!B30*CONSTANTS!$B$12)</f>
        <v>0</v>
      </c>
      <c r="C37" s="3">
        <f>ABS(Wrangling!C30*CONSTANTS!$B$10)+ABS(CONSTANTS!$B$11*Wrangling!C22)-ABS(Wrangling!C30*CONSTANTS!$B$12)</f>
        <v>464863</v>
      </c>
      <c r="D37" s="3">
        <f>ABS(Wrangling!D30*CONSTANTS!$B$10)+ABS(CONSTANTS!$B$11*Wrangling!D22)-ABS(Wrangling!D30*CONSTANTS!$B$12)</f>
        <v>641187.05000000005</v>
      </c>
      <c r="E37" s="3">
        <f>ABS(Wrangling!E30*CONSTANTS!$B$10)+ABS(CONSTANTS!$B$11*Wrangling!E22)-ABS(Wrangling!E30*CONSTANTS!$B$12)</f>
        <v>870626.54997500021</v>
      </c>
      <c r="F37" s="3">
        <f>ABS(Wrangling!F30*CONSTANTS!$B$10)+ABS(CONSTANTS!$B$11*Wrangling!F22)-ABS(Wrangling!F30*CONSTANTS!$B$12)</f>
        <v>954969.95747960638</v>
      </c>
      <c r="G37" s="3">
        <f>ABS(Wrangling!G30*CONSTANTS!$B$10)+ABS(CONSTANTS!$B$11*Wrangling!G22)-ABS(Wrangling!G30*CONSTANTS!$B$12)</f>
        <v>1047636.6644916248</v>
      </c>
      <c r="I37">
        <v>0</v>
      </c>
      <c r="J37" s="3">
        <f>ABS(Wrangling!J30*CONSTANTS!$B$10)+ABS(CONSTANTS!$B$11*Wrangling!J22)-ABS(Wrangling!J30*CONSTANTS!$B$12)</f>
        <v>223256.25</v>
      </c>
      <c r="K37" s="3">
        <f>ABS(Wrangling!K30*CONSTANTS!$B$10)+ABS(CONSTANTS!$B$11*Wrangling!K22)-ABS(Wrangling!K30*CONSTANTS!$B$12)</f>
        <v>343610.93812499999</v>
      </c>
      <c r="L37" s="3">
        <f>ABS(Wrangling!L30*CONSTANTS!$B$10)+ABS(CONSTANTS!$B$11*Wrangling!L22)-ABS(Wrangling!L30*CONSTANTS!$B$12)</f>
        <v>462961.87579687499</v>
      </c>
      <c r="M37" s="3">
        <f>ABS(Wrangling!M30*CONSTANTS!$B$10)+ABS(CONSTANTS!$B$11*Wrangling!M22)-ABS(Wrangling!M30*CONSTANTS!$B$12)</f>
        <v>520045.30582261522</v>
      </c>
      <c r="N37" s="3">
        <f>ABS(Wrangling!N30*CONSTANTS!$B$10)+ABS(CONSTANTS!$B$11*Wrangling!N22)-ABS(Wrangling!N30*CONSTANTS!$B$12)</f>
        <v>584248.32715527143</v>
      </c>
    </row>
    <row r="38" spans="1:23" x14ac:dyDescent="0.45">
      <c r="P38" s="1" t="s">
        <v>63</v>
      </c>
      <c r="W38" s="3">
        <f>SUM(W34:W35)+G37+N37</f>
        <v>3749384.9916468961</v>
      </c>
    </row>
    <row r="39" spans="1:23" x14ac:dyDescent="0.45">
      <c r="A39" s="1" t="s">
        <v>64</v>
      </c>
      <c r="B39">
        <v>0</v>
      </c>
      <c r="C39" s="3">
        <f>C37-B37</f>
        <v>464863</v>
      </c>
      <c r="D39" s="3">
        <f>D37-C37</f>
        <v>176324.05000000005</v>
      </c>
      <c r="E39" s="3">
        <f>E37-D37</f>
        <v>229439.49997500016</v>
      </c>
      <c r="F39" s="3">
        <f>F37-E37</f>
        <v>84343.407504606177</v>
      </c>
      <c r="G39" s="3">
        <f>G37-F37</f>
        <v>92666.707012018422</v>
      </c>
      <c r="I39">
        <v>0</v>
      </c>
      <c r="J39" s="3">
        <f>J37-I37</f>
        <v>223256.25</v>
      </c>
      <c r="K39" s="3">
        <f>K37-J37</f>
        <v>120354.68812499999</v>
      </c>
      <c r="L39" s="3">
        <f>L37-K37</f>
        <v>119350.937671875</v>
      </c>
      <c r="M39" s="3">
        <f>M37-L37</f>
        <v>57083.430025740236</v>
      </c>
      <c r="N39" s="3">
        <f>N37-M37</f>
        <v>64203.021332656208</v>
      </c>
    </row>
    <row r="41" spans="1:23" x14ac:dyDescent="0.45">
      <c r="A41" s="1" t="s">
        <v>49</v>
      </c>
      <c r="C41" s="3">
        <f>ABS(CONSTANTS!$B10*Wrangling!C$30)</f>
        <v>150626</v>
      </c>
      <c r="D41" s="3">
        <f>ABS(CONSTANTS!$B10*Wrangling!D$30)</f>
        <v>201924.09999999998</v>
      </c>
      <c r="E41" s="3">
        <f>ABS(CONSTANTS!$B10*Wrangling!E$30)</f>
        <v>266438.84994999995</v>
      </c>
      <c r="F41" s="3">
        <f>ABS(CONSTANTS!$B10*Wrangling!F$30)</f>
        <v>283957.20433421241</v>
      </c>
      <c r="G41" s="3">
        <f>ABS(CONSTANTS!$B10*Wrangling!G$30)</f>
        <v>302627.39051918685</v>
      </c>
      <c r="H41" s="3"/>
      <c r="I41" s="3"/>
      <c r="J41" s="3">
        <f>ABS(CONSTANTS!$B10*Wrangling!J$30)</f>
        <v>68512.499999999985</v>
      </c>
      <c r="K41" s="3">
        <f>ABS(CONSTANTS!$B10*Wrangling!K$30)</f>
        <v>102455.87624999999</v>
      </c>
      <c r="L41" s="3">
        <f>ABS(CONSTANTS!$B10*Wrangling!L$30)</f>
        <v>134108.25159374997</v>
      </c>
      <c r="M41" s="3">
        <f>ABS(CONSTANTS!$B10*Wrangling!M$30)</f>
        <v>146328.86602023043</v>
      </c>
      <c r="N41" s="3">
        <f>ABS(CONSTANTS!$B10*Wrangling!N$30)</f>
        <v>159663.08393632391</v>
      </c>
    </row>
    <row r="42" spans="1:23" x14ac:dyDescent="0.45">
      <c r="A42" s="1" t="s">
        <v>50</v>
      </c>
      <c r="C42" s="3">
        <f>CONSTANTS!$B11*C$22</f>
        <v>389550</v>
      </c>
      <c r="D42" s="3">
        <f>CONSTANTS!$B11*D$22</f>
        <v>540225</v>
      </c>
      <c r="E42" s="3">
        <f>CONSTANTS!$B11*E$22</f>
        <v>737407.12500000023</v>
      </c>
      <c r="F42" s="3">
        <f>CONSTANTS!$B11*F$22</f>
        <v>812991.35531250015</v>
      </c>
      <c r="G42" s="3">
        <f>CONSTANTS!$B11*G$22</f>
        <v>896322.96923203138</v>
      </c>
      <c r="H42" s="3"/>
      <c r="I42" s="3"/>
      <c r="J42" s="3">
        <f>CONSTANTS!$B11*J$22</f>
        <v>189000</v>
      </c>
      <c r="K42" s="3">
        <f>CONSTANTS!$B11*K$22</f>
        <v>292383</v>
      </c>
      <c r="L42" s="3">
        <f>CONSTANTS!$B11*L$22</f>
        <v>395907.75</v>
      </c>
      <c r="M42" s="3">
        <f>CONSTANTS!$B11*M$22</f>
        <v>446880.87281250005</v>
      </c>
      <c r="N42" s="3">
        <f>CONSTANTS!$B11*N$22</f>
        <v>504416.78518710949</v>
      </c>
    </row>
    <row r="43" spans="1:23" x14ac:dyDescent="0.45">
      <c r="A43" s="1" t="s">
        <v>53</v>
      </c>
      <c r="C43" s="3">
        <f>ABS(CONSTANTS!$B12*Wrangling!C$30)</f>
        <v>75313</v>
      </c>
      <c r="D43" s="3">
        <f>ABS(CONSTANTS!$B12*Wrangling!D$30)</f>
        <v>100962.04999999999</v>
      </c>
      <c r="E43" s="3">
        <f>ABS(CONSTANTS!$B12*Wrangling!E$30)</f>
        <v>133219.42497499997</v>
      </c>
      <c r="F43" s="3">
        <f>ABS(CONSTANTS!$B12*Wrangling!F$30)</f>
        <v>141978.6021671062</v>
      </c>
      <c r="G43" s="3">
        <f>ABS(CONSTANTS!$B12*Wrangling!G$30)</f>
        <v>151313.69525959343</v>
      </c>
      <c r="H43" s="3"/>
      <c r="I43" s="3"/>
      <c r="J43" s="3">
        <f>ABS(CONSTANTS!$B12*Wrangling!J$30)</f>
        <v>34256.249999999993</v>
      </c>
      <c r="K43" s="3">
        <f>ABS(CONSTANTS!$B12*Wrangling!K$30)</f>
        <v>51227.938124999993</v>
      </c>
      <c r="L43" s="3">
        <f>ABS(CONSTANTS!$B12*Wrangling!L$30)</f>
        <v>67054.125796874985</v>
      </c>
      <c r="M43" s="3">
        <f>ABS(CONSTANTS!$B12*Wrangling!M$30)</f>
        <v>73164.433010115215</v>
      </c>
      <c r="N43" s="3">
        <f>ABS(CONSTANTS!$B12*Wrangling!N$30)</f>
        <v>79831.541968161953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1A7BE4F73DDD4689D4C631B61CC8ED" ma:contentTypeVersion="18" ma:contentTypeDescription="Create a new document." ma:contentTypeScope="" ma:versionID="f18d18e479379b063e0728ac9d07764f">
  <xsd:schema xmlns:xsd="http://www.w3.org/2001/XMLSchema" xmlns:xs="http://www.w3.org/2001/XMLSchema" xmlns:p="http://schemas.microsoft.com/office/2006/metadata/properties" xmlns:ns3="f8527d39-b698-4ecc-8287-9334ebb19780" xmlns:ns4="3e43eddf-4e4e-4013-be03-aa95164efca5" targetNamespace="http://schemas.microsoft.com/office/2006/metadata/properties" ma:root="true" ma:fieldsID="4e66df5249006d757e3014767d75f5d9" ns3:_="" ns4:_="">
    <xsd:import namespace="f8527d39-b698-4ecc-8287-9334ebb19780"/>
    <xsd:import namespace="3e43eddf-4e4e-4013-be03-aa95164efca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527d39-b698-4ecc-8287-9334ebb197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3eddf-4e4e-4013-be03-aa95164efca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527d39-b698-4ecc-8287-9334ebb1978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3E8717-D7ED-42C8-88DB-D6264C57B7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527d39-b698-4ecc-8287-9334ebb19780"/>
    <ds:schemaRef ds:uri="3e43eddf-4e4e-4013-be03-aa95164efc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650693-B300-4E96-A55B-AEFB34890E49}">
  <ds:schemaRefs>
    <ds:schemaRef ds:uri="3e43eddf-4e4e-4013-be03-aa95164efca5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f8527d39-b698-4ecc-8287-9334ebb19780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563036A-49CE-4E28-94F7-512FB66C48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CONSTANTS</vt:lpstr>
      <vt:lpstr>2025 Expenses</vt:lpstr>
      <vt:lpstr>Question 1</vt:lpstr>
      <vt:lpstr>Question 2</vt:lpstr>
      <vt:lpstr>Question 3 + 4</vt:lpstr>
      <vt:lpstr>Wrangling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Minjae</dc:creator>
  <cp:lastModifiedBy>Kim, Minjae</cp:lastModifiedBy>
  <dcterms:created xsi:type="dcterms:W3CDTF">2026-03-19T09:36:47Z</dcterms:created>
  <dcterms:modified xsi:type="dcterms:W3CDTF">2026-03-20T18:03:24Z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0x0101001A1A7BE4F73DDD4689D4C631B61CC8ED</vt:lpwstr>
  </property>
</Properties>
</file>